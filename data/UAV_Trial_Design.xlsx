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Trials" sheetId="2" state="visible" r:id="rId2"/>
    <sheet name="ActionGroundTruth" sheetId="3" state="visible" r:id="rId3"/>
    <sheet name="Routes" sheetId="4" state="visible" r:id="rId4"/>
    <sheet name="WindZones" sheetId="5" state="visible" r:id="rId5"/>
    <sheet name="Parameters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5">
    <font>
      <name val="Carlito"/>
      <sz val="11"/>
    </font>
    <font>
      <name val="Microsoft YaHei"/>
      <color rgb="FF172033"/>
      <sz val="10"/>
    </font>
    <font>
      <name val="Microsoft YaHei"/>
      <b val="1"/>
      <color rgb="FFFFFFFF"/>
      <sz val="10"/>
    </font>
    <font>
      <name val="Microsoft YaHei"/>
      <b val="1"/>
      <color rgb="FFFFFFFF"/>
      <sz val="16"/>
    </font>
    <font>
      <name val="Microsoft YaHei"/>
      <b val="1"/>
      <color rgb="FF17365D"/>
      <sz val="10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1">
    <border/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/>
    </xf>
    <xf numFmtId="2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0" borderId="0" applyAlignment="1" pivotButton="0" quotePrefix="0" xfId="0">
      <alignment vertical="center"/>
    </xf>
  </cellXfs>
  <cellStyles count="1">
    <cellStyle name="Normal" xfId="0"/>
  </cellStyles>
  <dxfs count="1">
    <dxf>
      <font>
        <b val="1"/>
        <color rgb="FF991B1B"/>
      </font>
      <fill>
        <patternFill patternType="solid">
          <bgColor rgb="FFFECACA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rialsTable" displayName="TrialsTable" ref="A1:O19" headerRowCount="1" totalsRowCount="0" totalsRowShown="0">
  <tableColumns count="15">
    <tableColumn id="1" name="trialId"/>
    <tableColumn id="2" name="block"/>
    <tableColumn id="3" name="predictability"/>
    <tableColumn id="4" name="intervenability"/>
    <tableColumn id="5" name="complexity"/>
    <tableColumn id="6" name="droneCount"/>
    <tableColumn id="7" name="routeSetId"/>
    <tableColumn id="8" name="startNode"/>
    <tableColumn id="9" name="goalNode"/>
    <tableColumn id="10" name="releasePath"/>
    <tableColumn id="11" name="delaySeconds"/>
    <tableColumn id="12" name="reroutePath"/>
    <tableColumn id="13" name="plannedBestAction"/>
    <tableColumn id="14" name="intermediateQuestion"/>
    <tableColumn id="15" name="se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roundTruthTable" displayName="GroundTruthTable" ref="A1:P19" headerRowCount="1" totalsRowCount="0" totalsRowShown="0">
  <tableColumns count="15">
    <tableColumn id="1" name="trialId"/>
    <tableColumn id="2" name="predictability"/>
    <tableColumn id="3" name="intervenability"/>
    <tableColumn id="4" name="complexity"/>
    <tableColumn id="5" name="routeSetId"/>
    <tableColumn id="6" name="releaseTime_s"/>
    <tableColumn id="7" name="delayTime_s"/>
    <tableColumn id="8" name="rerouteTime_s"/>
    <tableColumn id="9" name="releaseEnergy_Wh"/>
    <tableColumn id="10" name="delayEnergy_Wh"/>
    <tableColumn id="11" name="rerouteEnergy_Wh"/>
    <tableColumn id="12" name="bestTimeAction"/>
    <tableColumn id="13" name="bestEnergyAction"/>
    <tableColumn id="14" name="timeGap_pct"/>
    <tableColumn id="15" name="intervenabilityChec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outesTable" displayName="RoutesTable" ref="A1:F43" headerRowCount="1" totalsRowCount="0" totalsRowShown="0">
  <tableColumns count="6">
    <tableColumn id="1" name="routeSetId"/>
    <tableColumn id="2" name="pathId"/>
    <tableColumn id="3" name="seq"/>
    <tableColumn id="4" name="waypointId"/>
    <tableColumn id="5" name="x_m"/>
    <tableColumn id="6" name="y_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WindZonesTable" displayName="WindZonesTable" ref="A1:J109" headerRowCount="1" totalsRowCount="0" totalsRowShown="0">
  <tableColumns count="10">
    <tableColumn id="1" name="trialId"/>
    <tableColumn id="2" name="timeLayer"/>
    <tableColumn id="3" name="zoneId"/>
    <tableColumn id="4" name="centerX_m"/>
    <tableColumn id="5" name="centerY_m"/>
    <tableColumn id="6" name="radius_m"/>
    <tableColumn id="7" name="meanSpeed_mps"/>
    <tableColumn id="8" name="direction_deg"/>
    <tableColumn id="9" name="speedSD_mps"/>
    <tableColumn id="10" name="directionSD_de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arametersTable" displayName="ParametersTable" ref="A1:B32" headerRowCount="1" totalsRowCount="0" totalsRowShown="0">
  <tableColumns count="2">
    <tableColumn id="1" name="parameter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6" customHeight="1">
      <c r="A1" s="10" t="inlineStr">
        <is>
          <t>UAV 监督决策仿真：24-trial 场景配置</t>
        </is>
      </c>
    </row>
    <row r="2" ht="15" customHeight="1">
      <c r="A2" s="12" t="inlineStr">
        <is>
          <t>用途</t>
        </is>
      </c>
      <c r="B2" s="13" t="inlineStr">
        <is>
          <t>UAV 监督决策实验冻结材料；调度目标为最小化预计飞行时间，地面等待单独记录</t>
        </is>
      </c>
    </row>
    <row r="3" ht="15" customHeight="1">
      <c r="A3" s="12" t="inlineStr">
        <is>
          <t>主设计</t>
        </is>
      </c>
      <c r="B3" s="13" t="inlineStr">
        <is>
          <t>Predictability(H/M/L) × Intervenability(H/L)；被试内 3×2，每格 3 trial</t>
        </is>
      </c>
    </row>
    <row r="4" ht="15" customHeight="1">
      <c r="A4" s="12" t="inlineStr">
        <is>
          <t>复杂度</t>
        </is>
      </c>
      <c r="B4" s="13" t="inlineStr">
        <is>
          <t>所有 trial 仅显示 1 架无人机</t>
        </is>
      </c>
    </row>
    <row r="5" ht="15" customHeight="1">
      <c r="A5" s="12" t="inlineStr">
        <is>
          <t>固定行动</t>
        </is>
      </c>
      <c r="B5" s="13" t="inlineStr">
        <is>
          <t>release / delay 120 s / reroute；三类最优行动各 6 trial</t>
        </is>
      </c>
    </row>
    <row r="6" ht="15" customHeight="1">
      <c r="A6" s="12" t="inlineStr">
        <is>
          <t>路径</t>
        </is>
      </c>
      <c r="B6" s="13" t="inlineStr">
        <is>
          <t>Path-A 直达；Path-B 北绕；正式判断题明确限定参考路径与行动</t>
        </is>
      </c>
    </row>
    <row r="7" ht="15" customHeight="1">
      <c r="A7" s="12" t="inlineStr">
        <is>
          <t>风场</t>
        </is>
      </c>
      <c r="B7" s="13" t="inlineStr">
        <is>
          <t>顺风/侧风/逆风参考夹角与最优行动交叉轮换；T0 为实测值，T1/T2 显示预测范围</t>
        </is>
      </c>
    </row>
    <row r="8" ht="15" customHeight="1">
      <c r="A8" s="12" t="inlineStr">
        <is>
          <t>随机性</t>
        </is>
      </c>
      <c r="B8" s="13" t="inlineStr">
        <is>
          <t>正式评分、练习未来仿真和过程题统一使用图中平均风场；固定 seed 的隐藏实现仅用于开发检验</t>
        </is>
      </c>
    </row>
    <row r="9" ht="15" customHeight="1">
      <c r="A9" s="12" t="inlineStr">
        <is>
          <t>校准门槛</t>
        </is>
      </c>
      <c r="B9" s="13" t="inlineStr">
        <is>
          <t>Intervenability=(最差-最优)/最差：High 35%–50%，Low 5%–15%；最优—次优差值单独平衡</t>
        </is>
      </c>
    </row>
    <row r="10" ht="15" customHeight="1">
      <c r="A10" s="12" t="inlineStr">
        <is>
          <t>注意</t>
        </is>
      </c>
      <c r="B10" s="13" t="inlineStr">
        <is>
          <t>版本 4.1 / 2026-08-pretest-flow-v2；18 个正式 trial，3 block × 6 trial</t>
        </is>
      </c>
    </row>
  </sheetData>
  <mergeCells count="10">
    <mergeCell ref="B4:F4"/>
    <mergeCell ref="B7:F7"/>
    <mergeCell ref="B6:F6"/>
    <mergeCell ref="B2:F2"/>
    <mergeCell ref="B10:F10"/>
    <mergeCell ref="A1:F1"/>
    <mergeCell ref="B3:F3"/>
    <mergeCell ref="B5:F5"/>
    <mergeCell ref="B8:F8"/>
    <mergeCell ref="B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workbookViewId="0">
      <selection activeCell="A1" sqref="A1"/>
    </sheetView>
  </sheetViews>
  <sheetFormatPr baseColWidth="8" defaultRowHeight="15"/>
  <cols>
    <col width="5.130000114440918" customWidth="1" min="1" max="1"/>
    <col width="4.880000114440918" customWidth="1" min="2" max="2"/>
    <col width="11" customWidth="1" min="3" max="3"/>
    <col width="12" customWidth="1" min="4" max="4"/>
    <col width="9.25" customWidth="1" min="5" max="5"/>
    <col width="10.13000011444092" customWidth="1" min="6" max="6"/>
    <col width="8.880000114440918" customWidth="1" min="7" max="7"/>
    <col width="8.630000114440918" customWidth="1" min="8" max="8"/>
    <col width="9.75" customWidth="1" min="9" max="9"/>
    <col width="9.630000114440918" customWidth="1" min="10" max="10"/>
    <col width="11.5" customWidth="1" min="11" max="11"/>
    <col width="9.880000114440918" customWidth="1" min="12" max="12"/>
    <col width="15.63000011444092" customWidth="1" min="13" max="13"/>
    <col width="18" customWidth="1" min="14" max="14"/>
    <col width="10.38000011444092" customWidth="1" min="15" max="15"/>
  </cols>
  <sheetData>
    <row r="1" ht="26" customHeight="1">
      <c r="A1" s="5" t="inlineStr">
        <is>
          <t>trialId</t>
        </is>
      </c>
      <c r="B1" s="5" t="inlineStr">
        <is>
          <t>block</t>
        </is>
      </c>
      <c r="C1" s="5" t="inlineStr">
        <is>
          <t>predictability</t>
        </is>
      </c>
      <c r="D1" s="5" t="inlineStr">
        <is>
          <t>intervenability</t>
        </is>
      </c>
      <c r="E1" s="5" t="inlineStr">
        <is>
          <t>complexity</t>
        </is>
      </c>
      <c r="F1" s="5" t="inlineStr">
        <is>
          <t>droneCount</t>
        </is>
      </c>
      <c r="G1" s="5" t="inlineStr">
        <is>
          <t>routeSetId</t>
        </is>
      </c>
      <c r="H1" s="5" t="inlineStr">
        <is>
          <t>startNode</t>
        </is>
      </c>
      <c r="I1" s="5" t="inlineStr">
        <is>
          <t>goalNode</t>
        </is>
      </c>
      <c r="J1" s="5" t="inlineStr">
        <is>
          <t>releasePath</t>
        </is>
      </c>
      <c r="K1" s="5" t="inlineStr">
        <is>
          <t>delaySeconds</t>
        </is>
      </c>
      <c r="L1" s="5" t="inlineStr">
        <is>
          <t>reroutePath</t>
        </is>
      </c>
      <c r="M1" s="5" t="inlineStr">
        <is>
          <t>plannedBestAction</t>
        </is>
      </c>
      <c r="N1" s="5" t="inlineStr">
        <is>
          <t>intermediateQuestion</t>
        </is>
      </c>
      <c r="O1" s="5" t="inlineStr">
        <is>
          <t>seed</t>
        </is>
      </c>
    </row>
    <row r="2" ht="15" customHeight="1">
      <c r="A2" s="2" t="n">
        <v>1</v>
      </c>
      <c r="B2" s="2" t="n">
        <v>1</v>
      </c>
      <c r="C2" s="17" t="inlineStr">
        <is>
          <t>H</t>
        </is>
      </c>
      <c r="D2" s="17" t="inlineStr">
        <is>
          <t>H</t>
        </is>
      </c>
      <c r="E2" s="17" t="inlineStr">
        <is>
          <t>Fixed</t>
        </is>
      </c>
      <c r="F2" s="2" t="n">
        <v>1</v>
      </c>
      <c r="G2" s="2" t="inlineStr">
        <is>
          <t>RS01</t>
        </is>
      </c>
      <c r="H2" s="2" t="inlineStr">
        <is>
          <t>DEPOT</t>
        </is>
      </c>
      <c r="I2" s="2" t="inlineStr">
        <is>
          <t>CUSTOMER</t>
        </is>
      </c>
      <c r="J2" s="2" t="inlineStr">
        <is>
          <t>Path-A</t>
        </is>
      </c>
      <c r="K2" s="2" t="n">
        <v>120</v>
      </c>
      <c r="L2" s="2" t="inlineStr">
        <is>
          <t>Path-B</t>
        </is>
      </c>
      <c r="M2" s="2" t="inlineStr">
        <is>
          <t>release</t>
        </is>
      </c>
      <c r="N2" s="2" t="inlineStr">
        <is>
          <t>第120秒时所在航段</t>
        </is>
      </c>
      <c r="O2" s="2" t="n">
        <v>2026073128</v>
      </c>
    </row>
    <row r="3" ht="15" customHeight="1">
      <c r="A3" s="2" t="n">
        <v>2</v>
      </c>
      <c r="B3" s="2" t="n">
        <v>1</v>
      </c>
      <c r="C3" s="17" t="inlineStr">
        <is>
          <t>H</t>
        </is>
      </c>
      <c r="D3" s="17" t="inlineStr">
        <is>
          <t>L</t>
        </is>
      </c>
      <c r="E3" s="17" t="inlineStr">
        <is>
          <t>Fixed</t>
        </is>
      </c>
      <c r="F3" s="2" t="n">
        <v>1</v>
      </c>
      <c r="G3" s="2" t="inlineStr">
        <is>
          <t>RS02</t>
        </is>
      </c>
      <c r="H3" s="2" t="inlineStr">
        <is>
          <t>DEPOT</t>
        </is>
      </c>
      <c r="I3" s="2" t="inlineStr">
        <is>
          <t>CUSTOMER</t>
        </is>
      </c>
      <c r="J3" s="2" t="inlineStr">
        <is>
          <t>Path-A</t>
        </is>
      </c>
      <c r="K3" s="2" t="n">
        <v>120</v>
      </c>
      <c r="L3" s="2" t="inlineStr">
        <is>
          <t>Path-B</t>
        </is>
      </c>
      <c r="M3" s="2" t="inlineStr">
        <is>
          <t>delay</t>
        </is>
      </c>
      <c r="N3" s="2" t="inlineStr">
        <is>
          <t>第120秒时所在航段</t>
        </is>
      </c>
      <c r="O3" s="2" t="n">
        <v>2026073340</v>
      </c>
    </row>
    <row r="4" ht="15" customHeight="1">
      <c r="A4" s="2" t="n">
        <v>3</v>
      </c>
      <c r="B4" s="2" t="n">
        <v>1</v>
      </c>
      <c r="C4" s="17" t="inlineStr">
        <is>
          <t>M</t>
        </is>
      </c>
      <c r="D4" s="17" t="inlineStr">
        <is>
          <t>H</t>
        </is>
      </c>
      <c r="E4" s="17" t="inlineStr">
        <is>
          <t>Fixed</t>
        </is>
      </c>
      <c r="F4" s="2" t="n">
        <v>1</v>
      </c>
      <c r="G4" s="2" t="inlineStr">
        <is>
          <t>RS03</t>
        </is>
      </c>
      <c r="H4" s="2" t="inlineStr">
        <is>
          <t>DEPOT</t>
        </is>
      </c>
      <c r="I4" s="2" t="inlineStr">
        <is>
          <t>CUSTOMER</t>
        </is>
      </c>
      <c r="J4" s="2" t="inlineStr">
        <is>
          <t>Path-A</t>
        </is>
      </c>
      <c r="K4" s="2" t="n">
        <v>120</v>
      </c>
      <c r="L4" s="2" t="inlineStr">
        <is>
          <t>Path-B</t>
        </is>
      </c>
      <c r="M4" s="2" t="inlineStr">
        <is>
          <t>reroute</t>
        </is>
      </c>
      <c r="N4" s="2" t="inlineStr">
        <is>
          <t>第120秒时所在航段</t>
        </is>
      </c>
      <c r="O4" s="2" t="n">
        <v>2026083118</v>
      </c>
    </row>
    <row r="5" ht="15" customHeight="1">
      <c r="A5" s="2" t="n">
        <v>4</v>
      </c>
      <c r="B5" s="2" t="n">
        <v>1</v>
      </c>
      <c r="C5" s="17" t="inlineStr">
        <is>
          <t>M</t>
        </is>
      </c>
      <c r="D5" s="17" t="inlineStr">
        <is>
          <t>L</t>
        </is>
      </c>
      <c r="E5" s="17" t="inlineStr">
        <is>
          <t>Fixed</t>
        </is>
      </c>
      <c r="F5" s="2" t="n">
        <v>1</v>
      </c>
      <c r="G5" s="2" t="inlineStr">
        <is>
          <t>RS04</t>
        </is>
      </c>
      <c r="H5" s="2" t="inlineStr">
        <is>
          <t>DEPOT</t>
        </is>
      </c>
      <c r="I5" s="2" t="inlineStr">
        <is>
          <t>CUSTOMER</t>
        </is>
      </c>
      <c r="J5" s="2" t="inlineStr">
        <is>
          <t>Path-A</t>
        </is>
      </c>
      <c r="K5" s="2" t="n">
        <v>120</v>
      </c>
      <c r="L5" s="2" t="inlineStr">
        <is>
          <t>Path-B</t>
        </is>
      </c>
      <c r="M5" s="2" t="inlineStr">
        <is>
          <t>release</t>
        </is>
      </c>
      <c r="N5" s="2" t="inlineStr">
        <is>
          <t>第120秒时所在航段</t>
        </is>
      </c>
      <c r="O5" s="2" t="n">
        <v>2026083118</v>
      </c>
    </row>
    <row r="6" ht="15" customHeight="1">
      <c r="A6" s="2" t="n">
        <v>5</v>
      </c>
      <c r="B6" s="2" t="n">
        <v>1</v>
      </c>
      <c r="C6" s="17" t="inlineStr">
        <is>
          <t>L</t>
        </is>
      </c>
      <c r="D6" s="17" t="inlineStr">
        <is>
          <t>H</t>
        </is>
      </c>
      <c r="E6" s="17" t="inlineStr">
        <is>
          <t>Fixed</t>
        </is>
      </c>
      <c r="F6" s="2" t="n">
        <v>1</v>
      </c>
      <c r="G6" s="2" t="inlineStr">
        <is>
          <t>RS05</t>
        </is>
      </c>
      <c r="H6" s="2" t="inlineStr">
        <is>
          <t>DEPOT</t>
        </is>
      </c>
      <c r="I6" s="2" t="inlineStr">
        <is>
          <t>CUSTOMER</t>
        </is>
      </c>
      <c r="J6" s="2" t="inlineStr">
        <is>
          <t>Path-A</t>
        </is>
      </c>
      <c r="K6" s="2" t="n">
        <v>120</v>
      </c>
      <c r="L6" s="2" t="inlineStr">
        <is>
          <t>Path-B</t>
        </is>
      </c>
      <c r="M6" s="2" t="inlineStr">
        <is>
          <t>delay</t>
        </is>
      </c>
      <c r="N6" s="2" t="inlineStr">
        <is>
          <t>第120秒时所在航段</t>
        </is>
      </c>
      <c r="O6" s="2" t="n">
        <v>2026073128</v>
      </c>
    </row>
    <row r="7" ht="15" customHeight="1">
      <c r="A7" s="2" t="n">
        <v>6</v>
      </c>
      <c r="B7" s="2" t="n">
        <v>1</v>
      </c>
      <c r="C7" s="17" t="inlineStr">
        <is>
          <t>L</t>
        </is>
      </c>
      <c r="D7" s="17" t="inlineStr">
        <is>
          <t>L</t>
        </is>
      </c>
      <c r="E7" s="17" t="inlineStr">
        <is>
          <t>Fixed</t>
        </is>
      </c>
      <c r="F7" s="2" t="n">
        <v>1</v>
      </c>
      <c r="G7" s="2" t="inlineStr">
        <is>
          <t>RS06</t>
        </is>
      </c>
      <c r="H7" s="2" t="inlineStr">
        <is>
          <t>DEPOT</t>
        </is>
      </c>
      <c r="I7" s="2" t="inlineStr">
        <is>
          <t>CUSTOMER</t>
        </is>
      </c>
      <c r="J7" s="2" t="inlineStr">
        <is>
          <t>Path-A</t>
        </is>
      </c>
      <c r="K7" s="2" t="n">
        <v>120</v>
      </c>
      <c r="L7" s="2" t="inlineStr">
        <is>
          <t>Path-B</t>
        </is>
      </c>
      <c r="M7" s="2" t="inlineStr">
        <is>
          <t>reroute</t>
        </is>
      </c>
      <c r="N7" s="2" t="inlineStr">
        <is>
          <t>第120秒时所在航段</t>
        </is>
      </c>
      <c r="O7" s="2" t="n">
        <v>2026083245</v>
      </c>
    </row>
    <row r="8" ht="15" customHeight="1">
      <c r="A8" s="2" t="n">
        <v>7</v>
      </c>
      <c r="B8" s="2" t="n">
        <v>2</v>
      </c>
      <c r="C8" s="17" t="inlineStr">
        <is>
          <t>H</t>
        </is>
      </c>
      <c r="D8" s="17" t="inlineStr">
        <is>
          <t>H</t>
        </is>
      </c>
      <c r="E8" s="17" t="inlineStr">
        <is>
          <t>Fixed</t>
        </is>
      </c>
      <c r="F8" s="2" t="n">
        <v>1</v>
      </c>
      <c r="G8" s="2" t="inlineStr">
        <is>
          <t>RS03</t>
        </is>
      </c>
      <c r="H8" s="2" t="inlineStr">
        <is>
          <t>DEPOT</t>
        </is>
      </c>
      <c r="I8" s="2" t="inlineStr">
        <is>
          <t>CUSTOMER</t>
        </is>
      </c>
      <c r="J8" s="2" t="inlineStr">
        <is>
          <t>Path-A</t>
        </is>
      </c>
      <c r="K8" s="2" t="n">
        <v>120</v>
      </c>
      <c r="L8" s="2" t="inlineStr">
        <is>
          <t>Path-B</t>
        </is>
      </c>
      <c r="M8" s="2" t="inlineStr">
        <is>
          <t>delay</t>
        </is>
      </c>
      <c r="N8" s="2" t="inlineStr">
        <is>
          <t>第120秒时所在航段</t>
        </is>
      </c>
      <c r="O8" s="2" t="n">
        <v>2026083118</v>
      </c>
    </row>
    <row r="9" ht="15" customHeight="1">
      <c r="A9" s="2" t="n">
        <v>8</v>
      </c>
      <c r="B9" s="2" t="n">
        <v>2</v>
      </c>
      <c r="C9" s="17" t="inlineStr">
        <is>
          <t>H</t>
        </is>
      </c>
      <c r="D9" s="17" t="inlineStr">
        <is>
          <t>L</t>
        </is>
      </c>
      <c r="E9" s="17" t="inlineStr">
        <is>
          <t>Fixed</t>
        </is>
      </c>
      <c r="F9" s="2" t="n">
        <v>1</v>
      </c>
      <c r="G9" s="2" t="inlineStr">
        <is>
          <t>RS04</t>
        </is>
      </c>
      <c r="H9" s="2" t="inlineStr">
        <is>
          <t>DEPOT</t>
        </is>
      </c>
      <c r="I9" s="2" t="inlineStr">
        <is>
          <t>CUSTOMER</t>
        </is>
      </c>
      <c r="J9" s="2" t="inlineStr">
        <is>
          <t>Path-A</t>
        </is>
      </c>
      <c r="K9" s="2" t="n">
        <v>120</v>
      </c>
      <c r="L9" s="2" t="inlineStr">
        <is>
          <t>Path-B</t>
        </is>
      </c>
      <c r="M9" s="2" t="inlineStr">
        <is>
          <t>reroute</t>
        </is>
      </c>
      <c r="N9" s="2" t="inlineStr">
        <is>
          <t>第120秒时所在航段</t>
        </is>
      </c>
      <c r="O9" s="2" t="n">
        <v>2026083214</v>
      </c>
    </row>
    <row r="10" ht="15" customHeight="1">
      <c r="A10" s="2" t="n">
        <v>9</v>
      </c>
      <c r="B10" s="2" t="n">
        <v>2</v>
      </c>
      <c r="C10" s="17" t="inlineStr">
        <is>
          <t>M</t>
        </is>
      </c>
      <c r="D10" s="17" t="inlineStr">
        <is>
          <t>H</t>
        </is>
      </c>
      <c r="E10" s="17" t="inlineStr">
        <is>
          <t>Fixed</t>
        </is>
      </c>
      <c r="F10" s="2" t="n">
        <v>1</v>
      </c>
      <c r="G10" s="2" t="inlineStr">
        <is>
          <t>RS05</t>
        </is>
      </c>
      <c r="H10" s="2" t="inlineStr">
        <is>
          <t>DEPOT</t>
        </is>
      </c>
      <c r="I10" s="2" t="inlineStr">
        <is>
          <t>CUSTOMER</t>
        </is>
      </c>
      <c r="J10" s="2" t="inlineStr">
        <is>
          <t>Path-A</t>
        </is>
      </c>
      <c r="K10" s="2" t="n">
        <v>120</v>
      </c>
      <c r="L10" s="2" t="inlineStr">
        <is>
          <t>Path-B</t>
        </is>
      </c>
      <c r="M10" s="2" t="inlineStr">
        <is>
          <t>release</t>
        </is>
      </c>
      <c r="N10" s="2" t="inlineStr">
        <is>
          <t>第120秒时所在航段</t>
        </is>
      </c>
      <c r="O10" s="2" t="n">
        <v>2026073132</v>
      </c>
    </row>
    <row r="11" ht="15" customHeight="1">
      <c r="A11" s="2" t="n">
        <v>10</v>
      </c>
      <c r="B11" s="2" t="n">
        <v>2</v>
      </c>
      <c r="C11" s="17" t="inlineStr">
        <is>
          <t>M</t>
        </is>
      </c>
      <c r="D11" s="17" t="inlineStr">
        <is>
          <t>L</t>
        </is>
      </c>
      <c r="E11" s="17" t="inlineStr">
        <is>
          <t>Fixed</t>
        </is>
      </c>
      <c r="F11" s="2" t="n">
        <v>1</v>
      </c>
      <c r="G11" s="2" t="inlineStr">
        <is>
          <t>RS06</t>
        </is>
      </c>
      <c r="H11" s="2" t="inlineStr">
        <is>
          <t>DEPOT</t>
        </is>
      </c>
      <c r="I11" s="2" t="inlineStr">
        <is>
          <t>CUSTOMER</t>
        </is>
      </c>
      <c r="J11" s="2" t="inlineStr">
        <is>
          <t>Path-A</t>
        </is>
      </c>
      <c r="K11" s="2" t="n">
        <v>120</v>
      </c>
      <c r="L11" s="2" t="inlineStr">
        <is>
          <t>Path-B</t>
        </is>
      </c>
      <c r="M11" s="2" t="inlineStr">
        <is>
          <t>delay</t>
        </is>
      </c>
      <c r="N11" s="2" t="inlineStr">
        <is>
          <t>第120秒时所在航段</t>
        </is>
      </c>
      <c r="O11" s="2" t="n">
        <v>2026073340</v>
      </c>
    </row>
    <row r="12" ht="15" customHeight="1">
      <c r="A12" s="2" t="n">
        <v>11</v>
      </c>
      <c r="B12" s="2" t="n">
        <v>2</v>
      </c>
      <c r="C12" s="17" t="inlineStr">
        <is>
          <t>L</t>
        </is>
      </c>
      <c r="D12" s="17" t="inlineStr">
        <is>
          <t>H</t>
        </is>
      </c>
      <c r="E12" s="17" t="inlineStr">
        <is>
          <t>Fixed</t>
        </is>
      </c>
      <c r="F12" s="2" t="n">
        <v>1</v>
      </c>
      <c r="G12" s="2" t="inlineStr">
        <is>
          <t>RS01</t>
        </is>
      </c>
      <c r="H12" s="2" t="inlineStr">
        <is>
          <t>DEPOT</t>
        </is>
      </c>
      <c r="I12" s="2" t="inlineStr">
        <is>
          <t>CUSTOMER</t>
        </is>
      </c>
      <c r="J12" s="2" t="inlineStr">
        <is>
          <t>Path-A</t>
        </is>
      </c>
      <c r="K12" s="2" t="n">
        <v>120</v>
      </c>
      <c r="L12" s="2" t="inlineStr">
        <is>
          <t>Path-B</t>
        </is>
      </c>
      <c r="M12" s="2" t="inlineStr">
        <is>
          <t>reroute</t>
        </is>
      </c>
      <c r="N12" s="2" t="inlineStr">
        <is>
          <t>第120秒时所在航段</t>
        </is>
      </c>
      <c r="O12" s="2" t="n">
        <v>2026083615</v>
      </c>
    </row>
    <row r="13" ht="15" customHeight="1">
      <c r="A13" s="2" t="n">
        <v>12</v>
      </c>
      <c r="B13" s="2" t="n">
        <v>2</v>
      </c>
      <c r="C13" s="17" t="inlineStr">
        <is>
          <t>L</t>
        </is>
      </c>
      <c r="D13" s="17" t="inlineStr">
        <is>
          <t>L</t>
        </is>
      </c>
      <c r="E13" s="17" t="inlineStr">
        <is>
          <t>Fixed</t>
        </is>
      </c>
      <c r="F13" s="2" t="n">
        <v>1</v>
      </c>
      <c r="G13" s="2" t="inlineStr">
        <is>
          <t>RS02</t>
        </is>
      </c>
      <c r="H13" s="2" t="inlineStr">
        <is>
          <t>DEPOT</t>
        </is>
      </c>
      <c r="I13" s="2" t="inlineStr">
        <is>
          <t>CUSTOMER</t>
        </is>
      </c>
      <c r="J13" s="2" t="inlineStr">
        <is>
          <t>Path-A</t>
        </is>
      </c>
      <c r="K13" s="2" t="n">
        <v>120</v>
      </c>
      <c r="L13" s="2" t="inlineStr">
        <is>
          <t>Path-B</t>
        </is>
      </c>
      <c r="M13" s="2" t="inlineStr">
        <is>
          <t>release</t>
        </is>
      </c>
      <c r="N13" s="2" t="inlineStr">
        <is>
          <t>第120秒时所在航段</t>
        </is>
      </c>
      <c r="O13" s="2" t="n">
        <v>2026073333</v>
      </c>
    </row>
    <row r="14" ht="15" customHeight="1">
      <c r="A14" s="2" t="n">
        <v>13</v>
      </c>
      <c r="B14" s="2" t="n">
        <v>3</v>
      </c>
      <c r="C14" s="17" t="inlineStr">
        <is>
          <t>H</t>
        </is>
      </c>
      <c r="D14" s="17" t="inlineStr">
        <is>
          <t>H</t>
        </is>
      </c>
      <c r="E14" s="17" t="inlineStr">
        <is>
          <t>Fixed</t>
        </is>
      </c>
      <c r="F14" s="2" t="n">
        <v>1</v>
      </c>
      <c r="G14" s="2" t="inlineStr">
        <is>
          <t>RS05</t>
        </is>
      </c>
      <c r="H14" s="2" t="inlineStr">
        <is>
          <t>DEPOT</t>
        </is>
      </c>
      <c r="I14" s="2" t="inlineStr">
        <is>
          <t>CUSTOMER</t>
        </is>
      </c>
      <c r="J14" s="2" t="inlineStr">
        <is>
          <t>Path-A</t>
        </is>
      </c>
      <c r="K14" s="2" t="n">
        <v>120</v>
      </c>
      <c r="L14" s="2" t="inlineStr">
        <is>
          <t>Path-B</t>
        </is>
      </c>
      <c r="M14" s="2" t="inlineStr">
        <is>
          <t>reroute</t>
        </is>
      </c>
      <c r="N14" s="2" t="inlineStr">
        <is>
          <t>第120秒时所在航段</t>
        </is>
      </c>
      <c r="O14" s="2" t="n">
        <v>2026073128</v>
      </c>
    </row>
    <row r="15" ht="15" customHeight="1">
      <c r="A15" s="2" t="n">
        <v>14</v>
      </c>
      <c r="B15" s="2" t="n">
        <v>3</v>
      </c>
      <c r="C15" s="17" t="inlineStr">
        <is>
          <t>H</t>
        </is>
      </c>
      <c r="D15" s="17" t="inlineStr">
        <is>
          <t>L</t>
        </is>
      </c>
      <c r="E15" s="17" t="inlineStr">
        <is>
          <t>Fixed</t>
        </is>
      </c>
      <c r="F15" s="2" t="n">
        <v>1</v>
      </c>
      <c r="G15" s="2" t="inlineStr">
        <is>
          <t>RS06</t>
        </is>
      </c>
      <c r="H15" s="2" t="inlineStr">
        <is>
          <t>DEPOT</t>
        </is>
      </c>
      <c r="I15" s="2" t="inlineStr">
        <is>
          <t>CUSTOMER</t>
        </is>
      </c>
      <c r="J15" s="2" t="inlineStr">
        <is>
          <t>Path-A</t>
        </is>
      </c>
      <c r="K15" s="2" t="n">
        <v>120</v>
      </c>
      <c r="L15" s="2" t="inlineStr">
        <is>
          <t>Path-B</t>
        </is>
      </c>
      <c r="M15" s="2" t="inlineStr">
        <is>
          <t>release</t>
        </is>
      </c>
      <c r="N15" s="2" t="inlineStr">
        <is>
          <t>第120秒时所在航段</t>
        </is>
      </c>
      <c r="O15" s="2" t="n">
        <v>2026073128</v>
      </c>
    </row>
    <row r="16" ht="15" customHeight="1">
      <c r="A16" s="2" t="n">
        <v>15</v>
      </c>
      <c r="B16" s="2" t="n">
        <v>3</v>
      </c>
      <c r="C16" s="17" t="inlineStr">
        <is>
          <t>M</t>
        </is>
      </c>
      <c r="D16" s="17" t="inlineStr">
        <is>
          <t>H</t>
        </is>
      </c>
      <c r="E16" s="17" t="inlineStr">
        <is>
          <t>Fixed</t>
        </is>
      </c>
      <c r="F16" s="2" t="n">
        <v>1</v>
      </c>
      <c r="G16" s="2" t="inlineStr">
        <is>
          <t>RS01</t>
        </is>
      </c>
      <c r="H16" s="2" t="inlineStr">
        <is>
          <t>DEPOT</t>
        </is>
      </c>
      <c r="I16" s="2" t="inlineStr">
        <is>
          <t>CUSTOMER</t>
        </is>
      </c>
      <c r="J16" s="2" t="inlineStr">
        <is>
          <t>Path-A</t>
        </is>
      </c>
      <c r="K16" s="2" t="n">
        <v>120</v>
      </c>
      <c r="L16" s="2" t="inlineStr">
        <is>
          <t>Path-B</t>
        </is>
      </c>
      <c r="M16" s="2" t="inlineStr">
        <is>
          <t>delay</t>
        </is>
      </c>
      <c r="N16" s="2" t="inlineStr">
        <is>
          <t>第120秒时所在航段</t>
        </is>
      </c>
      <c r="O16" s="2" t="n">
        <v>2026083181</v>
      </c>
    </row>
    <row r="17" ht="15" customHeight="1">
      <c r="A17" s="2" t="n">
        <v>16</v>
      </c>
      <c r="B17" s="2" t="n">
        <v>3</v>
      </c>
      <c r="C17" s="17" t="inlineStr">
        <is>
          <t>M</t>
        </is>
      </c>
      <c r="D17" s="17" t="inlineStr">
        <is>
          <t>L</t>
        </is>
      </c>
      <c r="E17" s="17" t="inlineStr">
        <is>
          <t>Fixed</t>
        </is>
      </c>
      <c r="F17" s="2" t="n">
        <v>1</v>
      </c>
      <c r="G17" s="2" t="inlineStr">
        <is>
          <t>RS02</t>
        </is>
      </c>
      <c r="H17" s="2" t="inlineStr">
        <is>
          <t>DEPOT</t>
        </is>
      </c>
      <c r="I17" s="2" t="inlineStr">
        <is>
          <t>CUSTOMER</t>
        </is>
      </c>
      <c r="J17" s="2" t="inlineStr">
        <is>
          <t>Path-A</t>
        </is>
      </c>
      <c r="K17" s="2" t="n">
        <v>120</v>
      </c>
      <c r="L17" s="2" t="inlineStr">
        <is>
          <t>Path-B</t>
        </is>
      </c>
      <c r="M17" s="2" t="inlineStr">
        <is>
          <t>reroute</t>
        </is>
      </c>
      <c r="N17" s="2" t="inlineStr">
        <is>
          <t>第120秒时所在航段</t>
        </is>
      </c>
      <c r="O17" s="2" t="n">
        <v>2026083162</v>
      </c>
    </row>
    <row r="18" ht="15" customHeight="1">
      <c r="A18" s="2" t="n">
        <v>17</v>
      </c>
      <c r="B18" s="2" t="n">
        <v>3</v>
      </c>
      <c r="C18" s="17" t="inlineStr">
        <is>
          <t>L</t>
        </is>
      </c>
      <c r="D18" s="17" t="inlineStr">
        <is>
          <t>H</t>
        </is>
      </c>
      <c r="E18" s="17" t="inlineStr">
        <is>
          <t>Fixed</t>
        </is>
      </c>
      <c r="F18" s="2" t="n">
        <v>1</v>
      </c>
      <c r="G18" s="2" t="inlineStr">
        <is>
          <t>RS03</t>
        </is>
      </c>
      <c r="H18" s="2" t="inlineStr">
        <is>
          <t>DEPOT</t>
        </is>
      </c>
      <c r="I18" s="2" t="inlineStr">
        <is>
          <t>CUSTOMER</t>
        </is>
      </c>
      <c r="J18" s="2" t="inlineStr">
        <is>
          <t>Path-A</t>
        </is>
      </c>
      <c r="K18" s="2" t="n">
        <v>120</v>
      </c>
      <c r="L18" s="2" t="inlineStr">
        <is>
          <t>Path-B</t>
        </is>
      </c>
      <c r="M18" s="2" t="inlineStr">
        <is>
          <t>release</t>
        </is>
      </c>
      <c r="N18" s="2" t="inlineStr">
        <is>
          <t>第120秒时所在航段</t>
        </is>
      </c>
      <c r="O18" s="2" t="n">
        <v>2026073128</v>
      </c>
    </row>
    <row r="19" ht="15" customHeight="1">
      <c r="A19" s="2" t="n">
        <v>18</v>
      </c>
      <c r="B19" s="2" t="n">
        <v>3</v>
      </c>
      <c r="C19" s="17" t="inlineStr">
        <is>
          <t>L</t>
        </is>
      </c>
      <c r="D19" s="17" t="inlineStr">
        <is>
          <t>L</t>
        </is>
      </c>
      <c r="E19" s="17" t="inlineStr">
        <is>
          <t>Fixed</t>
        </is>
      </c>
      <c r="F19" s="2" t="n">
        <v>1</v>
      </c>
      <c r="G19" s="2" t="inlineStr">
        <is>
          <t>RS04</t>
        </is>
      </c>
      <c r="H19" s="2" t="inlineStr">
        <is>
          <t>DEPOT</t>
        </is>
      </c>
      <c r="I19" s="2" t="inlineStr">
        <is>
          <t>CUSTOMER</t>
        </is>
      </c>
      <c r="J19" s="2" t="inlineStr">
        <is>
          <t>Path-A</t>
        </is>
      </c>
      <c r="K19" s="2" t="n">
        <v>120</v>
      </c>
      <c r="L19" s="2" t="inlineStr">
        <is>
          <t>Path-B</t>
        </is>
      </c>
      <c r="M19" s="2" t="inlineStr">
        <is>
          <t>delay</t>
        </is>
      </c>
      <c r="N19" s="2" t="inlineStr">
        <is>
          <t>第120秒时所在航段</t>
        </is>
      </c>
      <c r="O19" s="2" t="n">
        <v>2026083464</v>
      </c>
    </row>
    <row r="20" ht="15" customHeight="1"/>
    <row r="21" ht="15" customHeight="1"/>
    <row r="22" ht="15" customHeight="1"/>
    <row r="23" ht="15" customHeight="1"/>
    <row r="24" ht="15" customHeight="1"/>
    <row r="25" ht="15" customHeight="1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showGridLines="0" workbookViewId="0">
      <selection activeCell="A1" sqref="A1"/>
    </sheetView>
  </sheetViews>
  <sheetFormatPr baseColWidth="8" defaultRowHeight="15"/>
  <cols>
    <col width="5.130000114440918" customWidth="1" min="1" max="1"/>
    <col width="11" customWidth="1" min="2" max="2"/>
    <col width="12" customWidth="1" min="3" max="3"/>
    <col width="9.25" customWidth="1" min="4" max="4"/>
    <col width="8.880000114440918" customWidth="1" min="5" max="5"/>
    <col width="11.63000011444092" customWidth="1" min="6" max="6"/>
    <col width="10.25" customWidth="1" min="7" max="7"/>
    <col width="11.75" customWidth="1" min="8" max="8"/>
    <col width="15.13000011444092" customWidth="1" min="9" max="9"/>
    <col width="13.75" customWidth="1" min="10" max="10"/>
    <col width="15.25" customWidth="1" min="11" max="11"/>
    <col width="13" customWidth="1" min="12" max="12"/>
    <col width="14.63000011444092" customWidth="1" min="13" max="13"/>
    <col width="10.75" customWidth="1" min="14" max="14"/>
    <col width="16.75" customWidth="1" min="15" max="15"/>
  </cols>
  <sheetData>
    <row r="1" ht="26" customHeight="1">
      <c r="A1" s="5" t="inlineStr">
        <is>
          <t>trialId</t>
        </is>
      </c>
      <c r="B1" s="5" t="inlineStr">
        <is>
          <t>predictability</t>
        </is>
      </c>
      <c r="C1" s="5" t="inlineStr">
        <is>
          <t>intervenability</t>
        </is>
      </c>
      <c r="D1" s="5" t="inlineStr">
        <is>
          <t>sceneLoad</t>
        </is>
      </c>
      <c r="E1" s="5" t="inlineStr">
        <is>
          <t>routeSetId</t>
        </is>
      </c>
      <c r="F1" s="5" t="inlineStr">
        <is>
          <t>releaseTime_s</t>
        </is>
      </c>
      <c r="G1" s="5" t="inlineStr">
        <is>
          <t>delayTime_s</t>
        </is>
      </c>
      <c r="H1" s="5" t="inlineStr">
        <is>
          <t>rerouteTime_s</t>
        </is>
      </c>
      <c r="I1" s="5" t="inlineStr">
        <is>
          <t>releaseEnergy_Wh</t>
        </is>
      </c>
      <c r="J1" s="5" t="inlineStr">
        <is>
          <t>delayEnergy_Wh</t>
        </is>
      </c>
      <c r="K1" s="5" t="inlineStr">
        <is>
          <t>rerouteEnergy_Wh</t>
        </is>
      </c>
      <c r="L1" s="5" t="inlineStr">
        <is>
          <t>bestTimeAction</t>
        </is>
      </c>
      <c r="M1" s="5" t="inlineStr">
        <is>
          <t>bestEnergyAction</t>
        </is>
      </c>
      <c r="N1" s="5" t="inlineStr">
        <is>
          <t>decisionGap_pct</t>
        </is>
      </c>
      <c r="O1" s="5" t="inlineStr">
        <is>
          <t>intervenability_pct</t>
        </is>
      </c>
      <c r="P1" s="5" t="inlineStr">
        <is>
          <t>designCheck</t>
        </is>
      </c>
    </row>
    <row r="2" ht="15" customHeight="1">
      <c r="A2" s="2" t="n">
        <v>1</v>
      </c>
      <c r="B2" s="2" t="inlineStr">
        <is>
          <t>H</t>
        </is>
      </c>
      <c r="C2" s="2" t="inlineStr">
        <is>
          <t>H</t>
        </is>
      </c>
      <c r="D2" s="2" t="inlineStr">
        <is>
          <t>Fixed</t>
        </is>
      </c>
      <c r="E2" s="2" t="inlineStr">
        <is>
          <t>RS01</t>
        </is>
      </c>
      <c r="F2" s="18" t="n">
        <v>162.5155477574777</v>
      </c>
      <c r="G2" s="18" t="n">
        <v>265.2490019338539</v>
      </c>
      <c r="H2" s="18" t="n">
        <v>172.0469195579059</v>
      </c>
      <c r="I2" s="18" t="n">
        <v>9.47624674126102</v>
      </c>
      <c r="J2" s="18" t="n">
        <v>37.57904788547219</v>
      </c>
      <c r="K2" s="18" t="n">
        <v>5.116492748170616</v>
      </c>
      <c r="L2" s="2">
        <f>IF(F2&lt;=MIN(G2,H2),"release",IF(G2&lt;=H2,"delay","reroute"))</f>
        <v/>
      </c>
      <c r="M2" s="2">
        <f>IF(I2&lt;=MIN(J2,K2),"release",IF(J2&lt;=K2,"delay","reroute"))</f>
        <v/>
      </c>
      <c r="N2" s="19">
        <f>(MEDIAN(F2:H2)-MIN(F2:H2))/MIN(F2:H2)</f>
        <v/>
      </c>
      <c r="O2" s="19">
        <f>(MAX(F2:H2)-MIN(F2:H2))/MAX(F2:H2)</f>
        <v/>
      </c>
      <c r="P2" s="19">
        <f>IF(AND(N2&gt;=5%,N2&lt;=15%),IF(C2="H",IF(AND(O2&gt;=35%,O2&lt;=50%),"PASS","RECALIBRATE"),IF(AND(O2&gt;=5%,O2&lt;=15%),"PASS","RECALIBRATE")),"RECALIBRATE")</f>
        <v/>
      </c>
    </row>
    <row r="3" ht="15" customHeight="1">
      <c r="A3" s="2" t="n">
        <v>2</v>
      </c>
      <c r="B3" s="2" t="inlineStr">
        <is>
          <t>H</t>
        </is>
      </c>
      <c r="C3" s="2" t="inlineStr">
        <is>
          <t>L</t>
        </is>
      </c>
      <c r="D3" s="2" t="inlineStr">
        <is>
          <t>Fixed</t>
        </is>
      </c>
      <c r="E3" s="2" t="inlineStr">
        <is>
          <t>RS02</t>
        </is>
      </c>
      <c r="F3" s="18" t="n">
        <v>198.2541596673168</v>
      </c>
      <c r="G3" s="18" t="n">
        <v>181.9194120927919</v>
      </c>
      <c r="H3" s="18" t="n">
        <v>209.8907302841779</v>
      </c>
      <c r="I3" s="18" t="n">
        <v>10.40987255261375</v>
      </c>
      <c r="J3" s="18" t="n">
        <v>8.343245185724468</v>
      </c>
      <c r="K3" s="18" t="n">
        <v>7.60593412822612</v>
      </c>
      <c r="L3" s="2">
        <f>IF(F3&lt;=MIN(G3,H3),"release",IF(G3&lt;=H3,"delay","reroute"))</f>
        <v/>
      </c>
      <c r="M3" s="2">
        <f>IF(I3&lt;=MIN(J3,K3),"release",IF(J3&lt;=K3,"delay","reroute"))</f>
        <v/>
      </c>
      <c r="N3" s="19">
        <f>(MEDIAN(F3:H3)-MIN(F3:H3))/MIN(F3:H3)</f>
        <v/>
      </c>
      <c r="O3" s="19">
        <f>(MAX(F3:H3)-MIN(F3:H3))/MAX(F3:H3)</f>
        <v/>
      </c>
      <c r="P3" s="19">
        <f>IF(AND(N3&gt;=5%,N3&lt;=15%),IF(C3="H",IF(AND(O3&gt;=35%,O3&lt;=50%),"PASS","RECALIBRATE"),IF(AND(O3&gt;=5%,O3&lt;=15%),"PASS","RECALIBRATE")),"RECALIBRATE")</f>
        <v/>
      </c>
    </row>
    <row r="4" ht="15" customHeight="1">
      <c r="A4" s="2" t="n">
        <v>3</v>
      </c>
      <c r="B4" s="2" t="inlineStr">
        <is>
          <t>M</t>
        </is>
      </c>
      <c r="C4" s="2" t="inlineStr">
        <is>
          <t>H</t>
        </is>
      </c>
      <c r="D4" s="2" t="inlineStr">
        <is>
          <t>Fixed</t>
        </is>
      </c>
      <c r="E4" s="2" t="inlineStr">
        <is>
          <t>RS03</t>
        </is>
      </c>
      <c r="F4" s="18" t="n">
        <v>291.0549938191436</v>
      </c>
      <c r="G4" s="18" t="n">
        <v>190.9578514713144</v>
      </c>
      <c r="H4" s="18" t="n">
        <v>170.5158443647634</v>
      </c>
      <c r="I4" s="18" t="n">
        <v>37.62906313809303</v>
      </c>
      <c r="J4" s="18" t="n">
        <v>18.17377278573789</v>
      </c>
      <c r="K4" s="18" t="n">
        <v>5.76751714301807</v>
      </c>
      <c r="L4" s="2">
        <f>IF(F4&lt;=MIN(G4,H4),"release",IF(G4&lt;=H4,"delay","reroute"))</f>
        <v/>
      </c>
      <c r="M4" s="2">
        <f>IF(I4&lt;=MIN(J4,K4),"release",IF(J4&lt;=K4,"delay","reroute"))</f>
        <v/>
      </c>
      <c r="N4" s="19">
        <f>(MEDIAN(F4:H4)-MIN(F4:H4))/MIN(F4:H4)</f>
        <v/>
      </c>
      <c r="O4" s="19">
        <f>(MAX(F4:H4)-MIN(F4:H4))/MAX(F4:H4)</f>
        <v/>
      </c>
      <c r="P4" s="19">
        <f>IF(AND(N4&gt;=5%,N4&lt;=15%),IF(C4="H",IF(AND(O4&gt;=35%,O4&lt;=50%),"PASS","RECALIBRATE"),IF(AND(O4&gt;=5%,O4&lt;=15%),"PASS","RECALIBRATE")),"RECALIBRATE")</f>
        <v/>
      </c>
    </row>
    <row r="5" ht="15" customHeight="1">
      <c r="A5" s="2" t="n">
        <v>4</v>
      </c>
      <c r="B5" s="2" t="inlineStr">
        <is>
          <t>M</t>
        </is>
      </c>
      <c r="C5" s="2" t="inlineStr">
        <is>
          <t>L</t>
        </is>
      </c>
      <c r="D5" s="2" t="inlineStr">
        <is>
          <t>Fixed</t>
        </is>
      </c>
      <c r="E5" s="2" t="inlineStr">
        <is>
          <t>RS04</t>
        </is>
      </c>
      <c r="F5" s="18" t="n">
        <v>159.028736500661</v>
      </c>
      <c r="G5" s="18" t="n">
        <v>177.6796032991531</v>
      </c>
      <c r="H5" s="18" t="n">
        <v>184.0074388036243</v>
      </c>
      <c r="I5" s="18" t="n">
        <v>11.17736408550004</v>
      </c>
      <c r="J5" s="18" t="n">
        <v>12.73018872842195</v>
      </c>
      <c r="K5" s="18" t="n">
        <v>5.562235402814854</v>
      </c>
      <c r="L5" s="2">
        <f>IF(F5&lt;=MIN(G5,H5),"release",IF(G5&lt;=H5,"delay","reroute"))</f>
        <v/>
      </c>
      <c r="M5" s="2">
        <f>IF(I5&lt;=MIN(J5,K5),"release",IF(J5&lt;=K5,"delay","reroute"))</f>
        <v/>
      </c>
      <c r="N5" s="19">
        <f>(MEDIAN(F5:H5)-MIN(F5:H5))/MIN(F5:H5)</f>
        <v/>
      </c>
      <c r="O5" s="19">
        <f>(MAX(F5:H5)-MIN(F5:H5))/MAX(F5:H5)</f>
        <v/>
      </c>
      <c r="P5" s="19">
        <f>IF(AND(N5&gt;=5%,N5&lt;=15%),IF(C5="H",IF(AND(O5&gt;=35%,O5&lt;=50%),"PASS","RECALIBRATE"),IF(AND(O5&gt;=5%,O5&lt;=15%),"PASS","RECALIBRATE")),"RECALIBRATE")</f>
        <v/>
      </c>
    </row>
    <row r="6" ht="15" customHeight="1">
      <c r="A6" s="2" t="n">
        <v>5</v>
      </c>
      <c r="B6" s="2" t="inlineStr">
        <is>
          <t>L</t>
        </is>
      </c>
      <c r="C6" s="2" t="inlineStr">
        <is>
          <t>H</t>
        </is>
      </c>
      <c r="D6" s="2" t="inlineStr">
        <is>
          <t>Fixed</t>
        </is>
      </c>
      <c r="E6" s="2" t="inlineStr">
        <is>
          <t>RS05</t>
        </is>
      </c>
      <c r="F6" s="18" t="n">
        <v>136.1469842164068</v>
      </c>
      <c r="G6" s="18" t="n">
        <v>118.64432909216</v>
      </c>
      <c r="H6" s="18" t="n">
        <v>187.1037731673891</v>
      </c>
      <c r="I6" s="18" t="n">
        <v>4.553040125178907</v>
      </c>
      <c r="J6" s="18" t="n">
        <v>4.427881139476847</v>
      </c>
      <c r="K6" s="18" t="n">
        <v>5.570764190500313</v>
      </c>
      <c r="L6" s="2">
        <f>IF(F6&lt;=MIN(G6,H6),"release",IF(G6&lt;=H6,"delay","reroute"))</f>
        <v/>
      </c>
      <c r="M6" s="2">
        <f>IF(I6&lt;=MIN(J6,K6),"release",IF(J6&lt;=K6,"delay","reroute"))</f>
        <v/>
      </c>
      <c r="N6" s="19">
        <f>(MEDIAN(F6:H6)-MIN(F6:H6))/MIN(F6:H6)</f>
        <v/>
      </c>
      <c r="O6" s="19">
        <f>(MAX(F6:H6)-MIN(F6:H6))/MAX(F6:H6)</f>
        <v/>
      </c>
      <c r="P6" s="19">
        <f>IF(AND(N6&gt;=5%,N6&lt;=15%),IF(C6="H",IF(AND(O6&gt;=35%,O6&lt;=50%),"PASS","RECALIBRATE"),IF(AND(O6&gt;=5%,O6&lt;=15%),"PASS","RECALIBRATE")),"RECALIBRATE")</f>
        <v/>
      </c>
    </row>
    <row r="7" ht="15" customHeight="1">
      <c r="A7" s="2" t="n">
        <v>6</v>
      </c>
      <c r="B7" s="2" t="inlineStr">
        <is>
          <t>L</t>
        </is>
      </c>
      <c r="C7" s="2" t="inlineStr">
        <is>
          <t>L</t>
        </is>
      </c>
      <c r="D7" s="2" t="inlineStr">
        <is>
          <t>Fixed</t>
        </is>
      </c>
      <c r="E7" s="2" t="inlineStr">
        <is>
          <t>RS06</t>
        </is>
      </c>
      <c r="F7" s="18" t="n">
        <v>204.3420891105191</v>
      </c>
      <c r="G7" s="18" t="n">
        <v>218.0794789470972</v>
      </c>
      <c r="H7" s="18" t="n">
        <v>189.7185859413935</v>
      </c>
      <c r="I7" s="18" t="n">
        <v>21.9288188337686</v>
      </c>
      <c r="J7" s="18" t="n">
        <v>27.50986520343242</v>
      </c>
      <c r="K7" s="18" t="n">
        <v>5.748076101508927</v>
      </c>
      <c r="L7" s="2">
        <f>IF(F7&lt;=MIN(G7,H7),"release",IF(G7&lt;=H7,"delay","reroute"))</f>
        <v/>
      </c>
      <c r="M7" s="2">
        <f>IF(I7&lt;=MIN(J7,K7),"release",IF(J7&lt;=K7,"delay","reroute"))</f>
        <v/>
      </c>
      <c r="N7" s="19">
        <f>(MEDIAN(F7:H7)-MIN(F7:H7))/MIN(F7:H7)</f>
        <v/>
      </c>
      <c r="O7" s="19">
        <f>(MAX(F7:H7)-MIN(F7:H7))/MAX(F7:H7)</f>
        <v/>
      </c>
      <c r="P7" s="19">
        <f>IF(AND(N7&gt;=5%,N7&lt;=15%),IF(C7="H",IF(AND(O7&gt;=35%,O7&lt;=50%),"PASS","RECALIBRATE"),IF(AND(O7&gt;=5%,O7&lt;=15%),"PASS","RECALIBRATE")),"RECALIBRATE")</f>
        <v/>
      </c>
    </row>
    <row r="8" ht="15" customHeight="1">
      <c r="A8" s="2" t="n">
        <v>7</v>
      </c>
      <c r="B8" s="2" t="inlineStr">
        <is>
          <t>H</t>
        </is>
      </c>
      <c r="C8" s="2" t="inlineStr">
        <is>
          <t>H</t>
        </is>
      </c>
      <c r="D8" s="2" t="inlineStr">
        <is>
          <t>Fixed</t>
        </is>
      </c>
      <c r="E8" s="2" t="inlineStr">
        <is>
          <t>RS03</t>
        </is>
      </c>
      <c r="F8" s="18" t="n">
        <v>254.4627233124566</v>
      </c>
      <c r="G8" s="18" t="n">
        <v>161.5675646215914</v>
      </c>
      <c r="H8" s="18" t="n">
        <v>174.0820133299106</v>
      </c>
      <c r="I8" s="18" t="n">
        <v>16.6310436497826</v>
      </c>
      <c r="J8" s="18" t="n">
        <v>8.072346881753795</v>
      </c>
      <c r="K8" s="18" t="n">
        <v>5.71717765880609</v>
      </c>
      <c r="L8" s="2">
        <f>IF(F8&lt;=MIN(G8,H8),"release",IF(G8&lt;=H8,"delay","reroute"))</f>
        <v/>
      </c>
      <c r="M8" s="2">
        <f>IF(I8&lt;=MIN(J8,K8),"release",IF(J8&lt;=K8,"delay","reroute"))</f>
        <v/>
      </c>
      <c r="N8" s="19">
        <f>(MEDIAN(F8:H8)-MIN(F8:H8))/MIN(F8:H8)</f>
        <v/>
      </c>
      <c r="O8" s="19">
        <f>(MAX(F8:H8)-MIN(F8:H8))/MAX(F8:H8)</f>
        <v/>
      </c>
      <c r="P8" s="19">
        <f>IF(AND(N8&gt;=5%,N8&lt;=15%),IF(C8="H",IF(AND(O8&gt;=35%,O8&lt;=50%),"PASS","RECALIBRATE"),IF(AND(O8&gt;=5%,O8&lt;=15%),"PASS","RECALIBRATE")),"RECALIBRATE")</f>
        <v/>
      </c>
    </row>
    <row r="9" ht="15" customHeight="1">
      <c r="A9" s="2" t="n">
        <v>8</v>
      </c>
      <c r="B9" s="2" t="inlineStr">
        <is>
          <t>H</t>
        </is>
      </c>
      <c r="C9" s="2" t="inlineStr">
        <is>
          <t>L</t>
        </is>
      </c>
      <c r="D9" s="2" t="inlineStr">
        <is>
          <t>Fixed</t>
        </is>
      </c>
      <c r="E9" s="2" t="inlineStr">
        <is>
          <t>RS04</t>
        </is>
      </c>
      <c r="F9" s="18" t="n">
        <v>211.5323021123483</v>
      </c>
      <c r="G9" s="18" t="n">
        <v>204.0991247456226</v>
      </c>
      <c r="H9" s="18" t="n">
        <v>182.5200024526649</v>
      </c>
      <c r="I9" s="18" t="n">
        <v>15.65279046124412</v>
      </c>
      <c r="J9" s="18" t="n">
        <v>11.05555916939731</v>
      </c>
      <c r="K9" s="18" t="n">
        <v>5.931020807747168</v>
      </c>
      <c r="L9" s="2">
        <f>IF(F9&lt;=MIN(G9,H9),"release",IF(G9&lt;=H9,"delay","reroute"))</f>
        <v/>
      </c>
      <c r="M9" s="2">
        <f>IF(I9&lt;=MIN(J9,K9),"release",IF(J9&lt;=K9,"delay","reroute"))</f>
        <v/>
      </c>
      <c r="N9" s="19">
        <f>(MEDIAN(F9:H9)-MIN(F9:H9))/MIN(F9:H9)</f>
        <v/>
      </c>
      <c r="O9" s="19">
        <f>(MAX(F9:H9)-MIN(F9:H9))/MAX(F9:H9)</f>
        <v/>
      </c>
      <c r="P9" s="19">
        <f>IF(AND(N9&gt;=5%,N9&lt;=15%),IF(C9="H",IF(AND(O9&gt;=35%,O9&lt;=50%),"PASS","RECALIBRATE"),IF(AND(O9&gt;=5%,O9&lt;=15%),"PASS","RECALIBRATE")),"RECALIBRATE")</f>
        <v/>
      </c>
    </row>
    <row r="10" ht="15" customHeight="1">
      <c r="A10" s="2" t="n">
        <v>9</v>
      </c>
      <c r="B10" s="2" t="inlineStr">
        <is>
          <t>M</t>
        </is>
      </c>
      <c r="C10" s="2" t="inlineStr">
        <is>
          <t>H</t>
        </is>
      </c>
      <c r="D10" s="2" t="inlineStr">
        <is>
          <t>Fixed</t>
        </is>
      </c>
      <c r="E10" s="2" t="inlineStr">
        <is>
          <t>RS05</t>
        </is>
      </c>
      <c r="F10" s="18" t="n">
        <v>234.947723385967</v>
      </c>
      <c r="G10" s="18" t="n">
        <v>365.44453030627</v>
      </c>
      <c r="H10" s="18" t="n">
        <v>260.7421954699861</v>
      </c>
      <c r="I10" s="18" t="n">
        <v>29.34609538011128</v>
      </c>
      <c r="J10" s="18" t="n">
        <v>57.66759807184615</v>
      </c>
      <c r="K10" s="18" t="n">
        <v>18.69228791413135</v>
      </c>
      <c r="L10" s="2">
        <f>IF(F10&lt;=MIN(G10,H10),"release",IF(G10&lt;=H10,"delay","reroute"))</f>
        <v/>
      </c>
      <c r="M10" s="2">
        <f>IF(I10&lt;=MIN(J10,K10),"release",IF(J10&lt;=K10,"delay","reroute"))</f>
        <v/>
      </c>
      <c r="N10" s="19">
        <f>(MEDIAN(F10:H10)-MIN(F10:H10))/MIN(F10:H10)</f>
        <v/>
      </c>
      <c r="O10" s="19">
        <f>(MAX(F10:H10)-MIN(F10:H10))/MAX(F10:H10)</f>
        <v/>
      </c>
      <c r="P10" s="19">
        <f>IF(AND(N10&gt;=5%,N10&lt;=15%),IF(C10="H",IF(AND(O10&gt;=35%,O10&lt;=50%),"PASS","RECALIBRATE"),IF(AND(O10&gt;=5%,O10&lt;=15%),"PASS","RECALIBRATE")),"RECALIBRATE")</f>
        <v/>
      </c>
    </row>
    <row r="11" ht="15" customHeight="1">
      <c r="A11" s="2" t="n">
        <v>10</v>
      </c>
      <c r="B11" s="2" t="inlineStr">
        <is>
          <t>M</t>
        </is>
      </c>
      <c r="C11" s="2" t="inlineStr">
        <is>
          <t>L</t>
        </is>
      </c>
      <c r="D11" s="2" t="inlineStr">
        <is>
          <t>Fixed</t>
        </is>
      </c>
      <c r="E11" s="2" t="inlineStr">
        <is>
          <t>RS06</t>
        </is>
      </c>
      <c r="F11" s="18" t="n">
        <v>244.1983505780931</v>
      </c>
      <c r="G11" s="18" t="n">
        <v>218.3482520333733</v>
      </c>
      <c r="H11" s="18" t="n">
        <v>238.2314285522525</v>
      </c>
      <c r="I11" s="18" t="n">
        <v>19.87915049690335</v>
      </c>
      <c r="J11" s="18" t="n">
        <v>14.49669165095485</v>
      </c>
      <c r="K11" s="18" t="n">
        <v>11.8890536468495</v>
      </c>
      <c r="L11" s="2">
        <f>IF(F11&lt;=MIN(G11,H11),"release",IF(G11&lt;=H11,"delay","reroute"))</f>
        <v/>
      </c>
      <c r="M11" s="2">
        <f>IF(I11&lt;=MIN(J11,K11),"release",IF(J11&lt;=K11,"delay","reroute"))</f>
        <v/>
      </c>
      <c r="N11" s="19">
        <f>(MEDIAN(F11:H11)-MIN(F11:H11))/MIN(F11:H11)</f>
        <v/>
      </c>
      <c r="O11" s="19">
        <f>(MAX(F11:H11)-MIN(F11:H11))/MAX(F11:H11)</f>
        <v/>
      </c>
      <c r="P11" s="19">
        <f>IF(AND(N11&gt;=5%,N11&lt;=15%),IF(C11="H",IF(AND(O11&gt;=35%,O11&lt;=50%),"PASS","RECALIBRATE"),IF(AND(O11&gt;=5%,O11&lt;=15%),"PASS","RECALIBRATE")),"RECALIBRATE")</f>
        <v/>
      </c>
    </row>
    <row r="12" ht="15" customHeight="1">
      <c r="A12" s="2" t="n">
        <v>11</v>
      </c>
      <c r="B12" s="2" t="inlineStr">
        <is>
          <t>L</t>
        </is>
      </c>
      <c r="C12" s="2" t="inlineStr">
        <is>
          <t>H</t>
        </is>
      </c>
      <c r="D12" s="2" t="inlineStr">
        <is>
          <t>Fixed</t>
        </is>
      </c>
      <c r="E12" s="2" t="inlineStr">
        <is>
          <t>RS01</t>
        </is>
      </c>
      <c r="F12" s="18" t="n">
        <v>270.2922115466695</v>
      </c>
      <c r="G12" s="18" t="n">
        <v>190.939178948488</v>
      </c>
      <c r="H12" s="18" t="n">
        <v>175.2969195579059</v>
      </c>
      <c r="I12" s="18" t="n">
        <v>21.30915450678232</v>
      </c>
      <c r="J12" s="18" t="n">
        <v>13.01029585651706</v>
      </c>
      <c r="K12" s="18" t="n">
        <v>5.211724479157134</v>
      </c>
      <c r="L12" s="2">
        <f>IF(F12&lt;=MIN(G12,H12),"release",IF(G12&lt;=H12,"delay","reroute"))</f>
        <v/>
      </c>
      <c r="M12" s="2">
        <f>IF(I12&lt;=MIN(J12,K12),"release",IF(J12&lt;=K12,"delay","reroute"))</f>
        <v/>
      </c>
      <c r="N12" s="19">
        <f>(MEDIAN(F12:H12)-MIN(F12:H12))/MIN(F12:H12)</f>
        <v/>
      </c>
      <c r="O12" s="19">
        <f>(MAX(F12:H12)-MIN(F12:H12))/MAX(F12:H12)</f>
        <v/>
      </c>
      <c r="P12" s="19">
        <f>IF(AND(N12&gt;=5%,N12&lt;=15%),IF(C12="H",IF(AND(O12&gt;=35%,O12&lt;=50%),"PASS","RECALIBRATE"),IF(AND(O12&gt;=5%,O12&lt;=15%),"PASS","RECALIBRATE")),"RECALIBRATE")</f>
        <v/>
      </c>
    </row>
    <row r="13" ht="15" customHeight="1">
      <c r="A13" s="2" t="n">
        <v>12</v>
      </c>
      <c r="B13" s="2" t="inlineStr">
        <is>
          <t>L</t>
        </is>
      </c>
      <c r="C13" s="2" t="inlineStr">
        <is>
          <t>L</t>
        </is>
      </c>
      <c r="D13" s="2" t="inlineStr">
        <is>
          <t>Fixed</t>
        </is>
      </c>
      <c r="E13" s="2" t="inlineStr">
        <is>
          <t>RS02</t>
        </is>
      </c>
      <c r="F13" s="18" t="n">
        <v>186.1939095882637</v>
      </c>
      <c r="G13" s="18" t="n">
        <v>203.4403289272579</v>
      </c>
      <c r="H13" s="18" t="n">
        <v>208.2200834935043</v>
      </c>
      <c r="I13" s="18" t="n">
        <v>9.362113665082395</v>
      </c>
      <c r="J13" s="18" t="n">
        <v>11.00764498562673</v>
      </c>
      <c r="K13" s="18" t="n">
        <v>7.458599135892076</v>
      </c>
      <c r="L13" s="2">
        <f>IF(F13&lt;=MIN(G13,H13),"release",IF(G13&lt;=H13,"delay","reroute"))</f>
        <v/>
      </c>
      <c r="M13" s="2">
        <f>IF(I13&lt;=MIN(J13,K13),"release",IF(J13&lt;=K13,"delay","reroute"))</f>
        <v/>
      </c>
      <c r="N13" s="19">
        <f>(MEDIAN(F13:H13)-MIN(F13:H13))/MIN(F13:H13)</f>
        <v/>
      </c>
      <c r="O13" s="19">
        <f>(MAX(F13:H13)-MIN(F13:H13))/MAX(F13:H13)</f>
        <v/>
      </c>
      <c r="P13" s="19">
        <f>IF(AND(N13&gt;=5%,N13&lt;=15%),IF(C13="H",IF(AND(O13&gt;=35%,O13&lt;=50%),"PASS","RECALIBRATE"),IF(AND(O13&gt;=5%,O13&lt;=15%),"PASS","RECALIBRATE")),"RECALIBRATE")</f>
        <v/>
      </c>
    </row>
    <row r="14" ht="15" customHeight="1">
      <c r="A14" s="2" t="n">
        <v>13</v>
      </c>
      <c r="B14" s="2" t="inlineStr">
        <is>
          <t>H</t>
        </is>
      </c>
      <c r="C14" s="2" t="inlineStr">
        <is>
          <t>H</t>
        </is>
      </c>
      <c r="D14" s="2" t="inlineStr">
        <is>
          <t>Fixed</t>
        </is>
      </c>
      <c r="E14" s="2" t="inlineStr">
        <is>
          <t>RS05</t>
        </is>
      </c>
      <c r="F14" s="18" t="n">
        <v>322.9327987696656</v>
      </c>
      <c r="G14" s="18" t="n">
        <v>229.6168280464389</v>
      </c>
      <c r="H14" s="18" t="n">
        <v>207.5932213156755</v>
      </c>
      <c r="I14" s="18" t="n">
        <v>30.67072245414548</v>
      </c>
      <c r="J14" s="18" t="n">
        <v>18.86510970442444</v>
      </c>
      <c r="K14" s="18" t="n">
        <v>8.350026176722993</v>
      </c>
      <c r="L14" s="2">
        <f>IF(F14&lt;=MIN(G14,H14),"release",IF(G14&lt;=H14,"delay","reroute"))</f>
        <v/>
      </c>
      <c r="M14" s="2">
        <f>IF(I14&lt;=MIN(J14,K14),"release",IF(J14&lt;=K14,"delay","reroute"))</f>
        <v/>
      </c>
      <c r="N14" s="19">
        <f>(MEDIAN(F14:H14)-MIN(F14:H14))/MIN(F14:H14)</f>
        <v/>
      </c>
      <c r="O14" s="19">
        <f>(MAX(F14:H14)-MIN(F14:H14))/MAX(F14:H14)</f>
        <v/>
      </c>
      <c r="P14" s="19">
        <f>IF(AND(N14&gt;=5%,N14&lt;=15%),IF(C14="H",IF(AND(O14&gt;=35%,O14&lt;=50%),"PASS","RECALIBRATE"),IF(AND(O14&gt;=5%,O14&lt;=15%),"PASS","RECALIBRATE")),"RECALIBRATE")</f>
        <v/>
      </c>
    </row>
    <row r="15" ht="15" customHeight="1">
      <c r="A15" s="2" t="n">
        <v>14</v>
      </c>
      <c r="B15" s="2" t="inlineStr">
        <is>
          <t>H</t>
        </is>
      </c>
      <c r="C15" s="2" t="inlineStr">
        <is>
          <t>L</t>
        </is>
      </c>
      <c r="D15" s="2" t="inlineStr">
        <is>
          <t>Fixed</t>
        </is>
      </c>
      <c r="E15" s="2" t="inlineStr">
        <is>
          <t>RS06</t>
        </is>
      </c>
      <c r="F15" s="18" t="n">
        <v>167.4667434275057</v>
      </c>
      <c r="G15" s="18" t="n">
        <v>181.376139622233</v>
      </c>
      <c r="H15" s="18" t="n">
        <v>186.4235652833937</v>
      </c>
      <c r="I15" s="18" t="n">
        <v>8.856335212652608</v>
      </c>
      <c r="J15" s="18" t="n">
        <v>8.830774472053326</v>
      </c>
      <c r="K15" s="18" t="n">
        <v>5.540922634812008</v>
      </c>
      <c r="L15" s="2">
        <f>IF(F15&lt;=MIN(G15,H15),"release",IF(G15&lt;=H15,"delay","reroute"))</f>
        <v/>
      </c>
      <c r="M15" s="2">
        <f>IF(I15&lt;=MIN(J15,K15),"release",IF(J15&lt;=K15,"delay","reroute"))</f>
        <v/>
      </c>
      <c r="N15" s="19">
        <f>(MEDIAN(F15:H15)-MIN(F15:H15))/MIN(F15:H15)</f>
        <v/>
      </c>
      <c r="O15" s="19">
        <f>(MAX(F15:H15)-MIN(F15:H15))/MAX(F15:H15)</f>
        <v/>
      </c>
      <c r="P15" s="19">
        <f>IF(AND(N15&gt;=5%,N15&lt;=15%),IF(C15="H",IF(AND(O15&gt;=35%,O15&lt;=50%),"PASS","RECALIBRATE"),IF(AND(O15&gt;=5%,O15&lt;=15%),"PASS","RECALIBRATE")),"RECALIBRATE")</f>
        <v/>
      </c>
    </row>
    <row r="16" ht="15" customHeight="1">
      <c r="A16" s="2" t="n">
        <v>15</v>
      </c>
      <c r="B16" s="2" t="inlineStr">
        <is>
          <t>M</t>
        </is>
      </c>
      <c r="C16" s="2" t="inlineStr">
        <is>
          <t>H</t>
        </is>
      </c>
      <c r="D16" s="2" t="inlineStr">
        <is>
          <t>Fixed</t>
        </is>
      </c>
      <c r="E16" s="2" t="inlineStr">
        <is>
          <t>RS01</t>
        </is>
      </c>
      <c r="F16" s="18" t="n">
        <v>135.9903221782571</v>
      </c>
      <c r="G16" s="18" t="n">
        <v>118.8136291462016</v>
      </c>
      <c r="H16" s="18" t="n">
        <v>182.9537484572259</v>
      </c>
      <c r="I16" s="18" t="n">
        <v>4.677755777433473</v>
      </c>
      <c r="J16" s="18" t="n">
        <v>4.015943655102708</v>
      </c>
      <c r="K16" s="18" t="n">
        <v>5.438490657769949</v>
      </c>
      <c r="L16" s="2">
        <f>IF(F16&lt;=MIN(G16,H16),"release",IF(G16&lt;=H16,"delay","reroute"))</f>
        <v/>
      </c>
      <c r="M16" s="2">
        <f>IF(I16&lt;=MIN(J16,K16),"release",IF(J16&lt;=K16,"delay","reroute"))</f>
        <v/>
      </c>
      <c r="N16" s="19">
        <f>(MEDIAN(F16:H16)-MIN(F16:H16))/MIN(F16:H16)</f>
        <v/>
      </c>
      <c r="O16" s="19">
        <f>(MAX(F16:H16)-MIN(F16:H16))/MAX(F16:H16)</f>
        <v/>
      </c>
      <c r="P16" s="19">
        <f>IF(AND(N16&gt;=5%,N16&lt;=15%),IF(C16="H",IF(AND(O16&gt;=35%,O16&lt;=50%),"PASS","RECALIBRATE"),IF(AND(O16&gt;=5%,O16&lt;=15%),"PASS","RECALIBRATE")),"RECALIBRATE")</f>
        <v/>
      </c>
    </row>
    <row r="17" ht="15" customHeight="1">
      <c r="A17" s="2" t="n">
        <v>16</v>
      </c>
      <c r="B17" s="2" t="inlineStr">
        <is>
          <t>M</t>
        </is>
      </c>
      <c r="C17" s="2" t="inlineStr">
        <is>
          <t>L</t>
        </is>
      </c>
      <c r="D17" s="2" t="inlineStr">
        <is>
          <t>Fixed</t>
        </is>
      </c>
      <c r="E17" s="2" t="inlineStr">
        <is>
          <t>RS02</t>
        </is>
      </c>
      <c r="F17" s="18" t="n">
        <v>354.7929554124942</v>
      </c>
      <c r="G17" s="18" t="n">
        <v>371.0814339116398</v>
      </c>
      <c r="H17" s="18" t="n">
        <v>330.5740462217846</v>
      </c>
      <c r="I17" s="18" t="n">
        <v>40.3708091997187</v>
      </c>
      <c r="J17" s="18" t="n">
        <v>51.65736262237772</v>
      </c>
      <c r="K17" s="18" t="n">
        <v>29.20033735202825</v>
      </c>
      <c r="L17" s="2">
        <f>IF(F17&lt;=MIN(G17,H17),"release",IF(G17&lt;=H17,"delay","reroute"))</f>
        <v/>
      </c>
      <c r="M17" s="2">
        <f>IF(I17&lt;=MIN(J17,K17),"release",IF(J17&lt;=K17,"delay","reroute"))</f>
        <v/>
      </c>
      <c r="N17" s="19">
        <f>(MEDIAN(F17:H17)-MIN(F17:H17))/MIN(F17:H17)</f>
        <v/>
      </c>
      <c r="O17" s="19">
        <f>(MAX(F17:H17)-MIN(F17:H17))/MAX(F17:H17)</f>
        <v/>
      </c>
      <c r="P17" s="19">
        <f>IF(AND(N17&gt;=5%,N17&lt;=15%),IF(C17="H",IF(AND(O17&gt;=35%,O17&lt;=50%),"PASS","RECALIBRATE"),IF(AND(O17&gt;=5%,O17&lt;=15%),"PASS","RECALIBRATE")),"RECALIBRATE")</f>
        <v/>
      </c>
    </row>
    <row r="18" ht="15" customHeight="1">
      <c r="A18" s="2" t="n">
        <v>17</v>
      </c>
      <c r="B18" s="2" t="inlineStr">
        <is>
          <t>L</t>
        </is>
      </c>
      <c r="C18" s="2" t="inlineStr">
        <is>
          <t>H</t>
        </is>
      </c>
      <c r="D18" s="2" t="inlineStr">
        <is>
          <t>Fixed</t>
        </is>
      </c>
      <c r="E18" s="2" t="inlineStr">
        <is>
          <t>RS03</t>
        </is>
      </c>
      <c r="F18" s="18" t="n">
        <v>160.4111174483524</v>
      </c>
      <c r="G18" s="18" t="n">
        <v>316.9978788086833</v>
      </c>
      <c r="H18" s="18" t="n">
        <v>174.9789449363984</v>
      </c>
      <c r="I18" s="18" t="n">
        <v>14.69501789231613</v>
      </c>
      <c r="J18" s="18" t="n">
        <v>24.88150350859699</v>
      </c>
      <c r="K18" s="18" t="n">
        <v>6.245142795922379</v>
      </c>
      <c r="L18" s="2">
        <f>IF(F18&lt;=MIN(G18,H18),"release",IF(G18&lt;=H18,"delay","reroute"))</f>
        <v/>
      </c>
      <c r="M18" s="2">
        <f>IF(I18&lt;=MIN(J18,K18),"release",IF(J18&lt;=K18,"delay","reroute"))</f>
        <v/>
      </c>
      <c r="N18" s="19">
        <f>(MEDIAN(F18:H18)-MIN(F18:H18))/MIN(F18:H18)</f>
        <v/>
      </c>
      <c r="O18" s="19">
        <f>(MAX(F18:H18)-MIN(F18:H18))/MAX(F18:H18)</f>
        <v/>
      </c>
      <c r="P18" s="19">
        <f>IF(AND(N18&gt;=5%,N18&lt;=15%),IF(C18="H",IF(AND(O18&gt;=35%,O18&lt;=50%),"PASS","RECALIBRATE"),IF(AND(O18&gt;=5%,O18&lt;=15%),"PASS","RECALIBRATE")),"RECALIBRATE")</f>
        <v/>
      </c>
    </row>
    <row r="19" ht="15" customHeight="1">
      <c r="A19" s="2" t="n">
        <v>18</v>
      </c>
      <c r="B19" s="2" t="inlineStr">
        <is>
          <t>L</t>
        </is>
      </c>
      <c r="C19" s="2" t="inlineStr">
        <is>
          <t>L</t>
        </is>
      </c>
      <c r="D19" s="2" t="inlineStr">
        <is>
          <t>Fixed</t>
        </is>
      </c>
      <c r="E19" s="2" t="inlineStr">
        <is>
          <t>RS04</t>
        </is>
      </c>
      <c r="F19" s="18" t="n">
        <v>161.9143398132739</v>
      </c>
      <c r="G19" s="18" t="n">
        <v>151.6808689128342</v>
      </c>
      <c r="H19" s="18" t="n">
        <v>174.7855836954487</v>
      </c>
      <c r="I19" s="18" t="n">
        <v>7.619905226516932</v>
      </c>
      <c r="J19" s="18" t="n">
        <v>8.147115585310612</v>
      </c>
      <c r="K19" s="18" t="n">
        <v>6.686475275077179</v>
      </c>
      <c r="L19" s="2">
        <f>IF(F19&lt;=MIN(G19,H19),"release",IF(G19&lt;=H19,"delay","reroute"))</f>
        <v/>
      </c>
      <c r="M19" s="2">
        <f>IF(I19&lt;=MIN(J19,K19),"release",IF(J19&lt;=K19,"delay","reroute"))</f>
        <v/>
      </c>
      <c r="N19" s="19">
        <f>(MEDIAN(F19:H19)-MIN(F19:H19))/MIN(F19:H19)</f>
        <v/>
      </c>
      <c r="O19" s="19">
        <f>(MAX(F19:H19)-MIN(F19:H19))/MAX(F19:H19)</f>
        <v/>
      </c>
      <c r="P19" s="19">
        <f>IF(AND(N19&gt;=5%,N19&lt;=15%),IF(C19="H",IF(AND(O19&gt;=35%,O19&lt;=50%),"PASS","RECALIBRATE"),IF(AND(O19&gt;=5%,O19&lt;=15%),"PASS","RECALIBRATE")),"RECALIBRATE")</f>
        <v/>
      </c>
    </row>
    <row r="20" ht="15" customHeight="1"/>
    <row r="21" ht="15" customHeight="1"/>
    <row r="22" ht="15" customHeight="1"/>
    <row r="23" ht="15" customHeight="1"/>
    <row r="24" ht="15" customHeight="1"/>
    <row r="25" ht="15" customHeight="1"/>
  </sheetData>
  <conditionalFormatting sqref="O2:O25">
    <cfRule type="containsText" priority="1" operator="containsText" dxfId="0" text="RECALIBRATE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8.880000114440918" customWidth="1" min="1" max="1"/>
    <col width="6" customWidth="1" min="2" max="2"/>
    <col width="3.380000114440918" customWidth="1" min="3" max="3"/>
    <col width="9.75" customWidth="1" min="4" max="4"/>
    <col width="4.5" customWidth="1" min="5" max="5"/>
    <col width="4.5" customWidth="1" min="6" max="6"/>
  </cols>
  <sheetData>
    <row r="1" ht="26" customHeight="1">
      <c r="A1" s="5" t="inlineStr">
        <is>
          <t>routeSetId</t>
        </is>
      </c>
      <c r="B1" s="5" t="inlineStr">
        <is>
          <t>pathId</t>
        </is>
      </c>
      <c r="C1" s="5" t="inlineStr">
        <is>
          <t>seq</t>
        </is>
      </c>
      <c r="D1" s="5" t="inlineStr">
        <is>
          <t>waypointId</t>
        </is>
      </c>
      <c r="E1" s="5" t="inlineStr">
        <is>
          <t>x_m</t>
        </is>
      </c>
      <c r="F1" s="5" t="inlineStr">
        <is>
          <t>y_m</t>
        </is>
      </c>
    </row>
    <row r="2" ht="15" customHeight="1">
      <c r="A2" s="2" t="inlineStr">
        <is>
          <t>RS01</t>
        </is>
      </c>
      <c r="B2" s="2" t="inlineStr">
        <is>
          <t>Path-A</t>
        </is>
      </c>
      <c r="C2" s="2" t="n">
        <v>1</v>
      </c>
      <c r="D2" s="2" t="inlineStr">
        <is>
          <t>DEPOT</t>
        </is>
      </c>
      <c r="E2" s="2" t="n">
        <v>0</v>
      </c>
      <c r="F2" s="2" t="n">
        <v>0</v>
      </c>
    </row>
    <row r="3" ht="15" customHeight="1">
      <c r="A3" s="2" t="inlineStr">
        <is>
          <t>RS01</t>
        </is>
      </c>
      <c r="B3" s="2" t="inlineStr">
        <is>
          <t>Path-A</t>
        </is>
      </c>
      <c r="C3" s="2" t="n">
        <v>2</v>
      </c>
      <c r="D3" s="2" t="inlineStr">
        <is>
          <t>A1</t>
        </is>
      </c>
      <c r="E3" s="2" t="n">
        <v>650</v>
      </c>
      <c r="F3" s="2" t="n">
        <v>410</v>
      </c>
    </row>
    <row r="4" ht="15" customHeight="1">
      <c r="A4" s="2" t="inlineStr">
        <is>
          <t>RS01</t>
        </is>
      </c>
      <c r="B4" s="2" t="inlineStr">
        <is>
          <t>Path-A</t>
        </is>
      </c>
      <c r="C4" s="2" t="n">
        <v>3</v>
      </c>
      <c r="D4" s="2" t="inlineStr">
        <is>
          <t>CUSTOMER</t>
        </is>
      </c>
      <c r="E4" s="2" t="n">
        <v>1500</v>
      </c>
      <c r="F4" s="2" t="n">
        <v>850</v>
      </c>
    </row>
    <row r="5" ht="15" customHeight="1">
      <c r="A5" s="2" t="inlineStr">
        <is>
          <t>RS01</t>
        </is>
      </c>
      <c r="B5" s="2" t="inlineStr">
        <is>
          <t>Path-B</t>
        </is>
      </c>
      <c r="C5" s="2" t="n">
        <v>1</v>
      </c>
      <c r="D5" s="2" t="inlineStr">
        <is>
          <t>DEPOT</t>
        </is>
      </c>
      <c r="E5" s="2" t="n">
        <v>0</v>
      </c>
      <c r="F5" s="2" t="n">
        <v>0</v>
      </c>
    </row>
    <row r="6" ht="15" customHeight="1">
      <c r="A6" s="2" t="inlineStr">
        <is>
          <t>RS01</t>
        </is>
      </c>
      <c r="B6" s="2" t="inlineStr">
        <is>
          <t>Path-B</t>
        </is>
      </c>
      <c r="C6" s="2" t="n">
        <v>2</v>
      </c>
      <c r="D6" s="2" t="inlineStr">
        <is>
          <t>B1</t>
        </is>
      </c>
      <c r="E6" s="2" t="n">
        <v>420</v>
      </c>
      <c r="F6" s="2" t="n">
        <v>900</v>
      </c>
    </row>
    <row r="7" ht="15" customHeight="1">
      <c r="A7" s="2" t="inlineStr">
        <is>
          <t>RS01</t>
        </is>
      </c>
      <c r="B7" s="2" t="inlineStr">
        <is>
          <t>Path-B</t>
        </is>
      </c>
      <c r="C7" s="2" t="n">
        <v>3</v>
      </c>
      <c r="D7" s="2" t="inlineStr">
        <is>
          <t>B2</t>
        </is>
      </c>
      <c r="E7" s="2" t="n">
        <v>1120</v>
      </c>
      <c r="F7" s="2" t="n">
        <v>1220</v>
      </c>
    </row>
    <row r="8" ht="15" customHeight="1">
      <c r="A8" s="2" t="inlineStr">
        <is>
          <t>RS01</t>
        </is>
      </c>
      <c r="B8" s="2" t="inlineStr">
        <is>
          <t>Path-B</t>
        </is>
      </c>
      <c r="C8" s="2" t="n">
        <v>4</v>
      </c>
      <c r="D8" s="2" t="inlineStr">
        <is>
          <t>CUSTOMER</t>
        </is>
      </c>
      <c r="E8" s="2" t="n">
        <v>1500</v>
      </c>
      <c r="F8" s="2" t="n">
        <v>850</v>
      </c>
    </row>
    <row r="9" ht="15" customHeight="1">
      <c r="A9" s="2" t="inlineStr">
        <is>
          <t>RS02</t>
        </is>
      </c>
      <c r="B9" s="2" t="inlineStr">
        <is>
          <t>Path-A</t>
        </is>
      </c>
      <c r="C9" s="2" t="n">
        <v>1</v>
      </c>
      <c r="D9" s="2" t="inlineStr">
        <is>
          <t>DEPOT</t>
        </is>
      </c>
      <c r="E9" s="2" t="n">
        <v>0</v>
      </c>
      <c r="F9" s="2" t="n">
        <v>0</v>
      </c>
    </row>
    <row r="10" ht="15" customHeight="1">
      <c r="A10" s="2" t="inlineStr">
        <is>
          <t>RS02</t>
        </is>
      </c>
      <c r="B10" s="2" t="inlineStr">
        <is>
          <t>Path-A</t>
        </is>
      </c>
      <c r="C10" s="2" t="n">
        <v>2</v>
      </c>
      <c r="D10" s="2" t="inlineStr">
        <is>
          <t>A1</t>
        </is>
      </c>
      <c r="E10" s="2" t="n">
        <v>734</v>
      </c>
      <c r="F10" s="2" t="n">
        <v>-228</v>
      </c>
    </row>
    <row r="11" ht="15" customHeight="1">
      <c r="A11" s="2" t="inlineStr">
        <is>
          <t>RS02</t>
        </is>
      </c>
      <c r="B11" s="2" t="inlineStr">
        <is>
          <t>Path-A</t>
        </is>
      </c>
      <c r="C11" s="2" t="n">
        <v>3</v>
      </c>
      <c r="D11" s="2" t="inlineStr">
        <is>
          <t>CUSTOMER</t>
        </is>
      </c>
      <c r="E11" s="2" t="n">
        <v>1669</v>
      </c>
      <c r="F11" s="2" t="n">
        <v>-433</v>
      </c>
    </row>
    <row r="12" ht="15" customHeight="1">
      <c r="A12" s="2" t="inlineStr">
        <is>
          <t>RS02</t>
        </is>
      </c>
      <c r="B12" s="2" t="inlineStr">
        <is>
          <t>Path-B</t>
        </is>
      </c>
      <c r="C12" s="2" t="n">
        <v>1</v>
      </c>
      <c r="D12" s="2" t="inlineStr">
        <is>
          <t>DEPOT</t>
        </is>
      </c>
      <c r="E12" s="2" t="n">
        <v>0</v>
      </c>
      <c r="F12" s="2" t="n">
        <v>0</v>
      </c>
    </row>
    <row r="13" ht="15" customHeight="1">
      <c r="A13" s="2" t="inlineStr">
        <is>
          <t>RS02</t>
        </is>
      </c>
      <c r="B13" s="2" t="inlineStr">
        <is>
          <t>Path-B</t>
        </is>
      </c>
      <c r="C13" s="2" t="n">
        <v>2</v>
      </c>
      <c r="D13" s="2" t="inlineStr">
        <is>
          <t>B1</t>
        </is>
      </c>
      <c r="E13" s="2" t="n">
        <v>639</v>
      </c>
      <c r="F13" s="2" t="n">
        <v>-761</v>
      </c>
    </row>
    <row r="14" ht="15" customHeight="1">
      <c r="A14" s="2" t="inlineStr">
        <is>
          <t>RS02</t>
        </is>
      </c>
      <c r="B14" s="2" t="inlineStr">
        <is>
          <t>Path-B</t>
        </is>
      </c>
      <c r="C14" s="2" t="n">
        <v>3</v>
      </c>
      <c r="D14" s="2" t="inlineStr">
        <is>
          <t>B2</t>
        </is>
      </c>
      <c r="E14" s="2" t="n">
        <v>1398</v>
      </c>
      <c r="F14" s="2" t="n">
        <v>-889</v>
      </c>
    </row>
    <row r="15" ht="15" customHeight="1">
      <c r="A15" s="2" t="inlineStr">
        <is>
          <t>RS02</t>
        </is>
      </c>
      <c r="B15" s="2" t="inlineStr">
        <is>
          <t>Path-B</t>
        </is>
      </c>
      <c r="C15" s="2" t="n">
        <v>4</v>
      </c>
      <c r="D15" s="2" t="inlineStr">
        <is>
          <t>CUSTOMER</t>
        </is>
      </c>
      <c r="E15" s="2" t="n">
        <v>1669</v>
      </c>
      <c r="F15" s="2" t="n">
        <v>-433</v>
      </c>
    </row>
    <row r="16" ht="15" customHeight="1">
      <c r="A16" s="2" t="inlineStr">
        <is>
          <t>RS03</t>
        </is>
      </c>
      <c r="B16" s="2" t="inlineStr">
        <is>
          <t>Path-A</t>
        </is>
      </c>
      <c r="C16" s="2" t="n">
        <v>1</v>
      </c>
      <c r="D16" s="2" t="inlineStr">
        <is>
          <t>DEPOT</t>
        </is>
      </c>
      <c r="E16" s="2" t="n">
        <v>0</v>
      </c>
      <c r="F16" s="2" t="n">
        <v>0</v>
      </c>
    </row>
    <row r="17" ht="15" customHeight="1">
      <c r="A17" s="2" t="inlineStr">
        <is>
          <t>RS03</t>
        </is>
      </c>
      <c r="B17" s="2" t="inlineStr">
        <is>
          <t>Path-A</t>
        </is>
      </c>
      <c r="C17" s="2" t="n">
        <v>2</v>
      </c>
      <c r="D17" s="2" t="inlineStr">
        <is>
          <t>A1</t>
        </is>
      </c>
      <c r="E17" s="2" t="n">
        <v>358</v>
      </c>
      <c r="F17" s="2" t="n">
        <v>680</v>
      </c>
    </row>
    <row r="18" ht="15" customHeight="1">
      <c r="A18" s="2" t="inlineStr">
        <is>
          <t>RS03</t>
        </is>
      </c>
      <c r="B18" s="2" t="inlineStr">
        <is>
          <t>Path-A</t>
        </is>
      </c>
      <c r="C18" s="2" t="n">
        <v>3</v>
      </c>
      <c r="D18" s="2" t="inlineStr">
        <is>
          <t>CUSTOMER</t>
        </is>
      </c>
      <c r="E18" s="2" t="n">
        <v>874</v>
      </c>
      <c r="F18" s="2" t="n">
        <v>1486</v>
      </c>
    </row>
    <row r="19" ht="15" customHeight="1">
      <c r="A19" s="2" t="inlineStr">
        <is>
          <t>RS03</t>
        </is>
      </c>
      <c r="B19" s="2" t="inlineStr">
        <is>
          <t>Path-B</t>
        </is>
      </c>
      <c r="C19" s="2" t="n">
        <v>1</v>
      </c>
      <c r="D19" s="2" t="inlineStr">
        <is>
          <t>DEPOT</t>
        </is>
      </c>
      <c r="E19" s="2" t="n">
        <v>0</v>
      </c>
      <c r="F19" s="2" t="n">
        <v>0</v>
      </c>
    </row>
    <row r="20" ht="15" customHeight="1">
      <c r="A20" s="2" t="inlineStr">
        <is>
          <t>RS03</t>
        </is>
      </c>
      <c r="B20" s="2" t="inlineStr">
        <is>
          <t>Path-B</t>
        </is>
      </c>
      <c r="C20" s="2" t="n">
        <v>2</v>
      </c>
      <c r="D20" s="2" t="inlineStr">
        <is>
          <t>B1</t>
        </is>
      </c>
      <c r="E20" s="2" t="n">
        <v>-86</v>
      </c>
      <c r="F20" s="2" t="n">
        <v>989</v>
      </c>
    </row>
    <row r="21" ht="15" customHeight="1">
      <c r="A21" s="2" t="inlineStr">
        <is>
          <t>RS03</t>
        </is>
      </c>
      <c r="B21" s="2" t="inlineStr">
        <is>
          <t>Path-B</t>
        </is>
      </c>
      <c r="C21" s="2" t="n">
        <v>3</v>
      </c>
      <c r="D21" s="2" t="inlineStr">
        <is>
          <t>B2</t>
        </is>
      </c>
      <c r="E21" s="2" t="n">
        <v>360</v>
      </c>
      <c r="F21" s="2" t="n">
        <v>1617</v>
      </c>
    </row>
    <row r="22" ht="15" customHeight="1">
      <c r="A22" s="2" t="inlineStr">
        <is>
          <t>RS03</t>
        </is>
      </c>
      <c r="B22" s="2" t="inlineStr">
        <is>
          <t>Path-B</t>
        </is>
      </c>
      <c r="C22" s="2" t="n">
        <v>4</v>
      </c>
      <c r="D22" s="2" t="inlineStr">
        <is>
          <t>CUSTOMER</t>
        </is>
      </c>
      <c r="E22" s="2" t="n">
        <v>874</v>
      </c>
      <c r="F22" s="2" t="n">
        <v>1486</v>
      </c>
    </row>
    <row r="23" ht="15" customHeight="1">
      <c r="A23" s="2" t="inlineStr">
        <is>
          <t>RS04</t>
        </is>
      </c>
      <c r="B23" s="2" t="inlineStr">
        <is>
          <t>Path-A</t>
        </is>
      </c>
      <c r="C23" s="2" t="n">
        <v>1</v>
      </c>
      <c r="D23" s="2" t="inlineStr">
        <is>
          <t>DEPOT</t>
        </is>
      </c>
      <c r="E23" s="2" t="n">
        <v>0</v>
      </c>
      <c r="F23" s="2" t="n">
        <v>0</v>
      </c>
    </row>
    <row r="24" ht="15" customHeight="1">
      <c r="A24" s="2" t="inlineStr">
        <is>
          <t>RS04</t>
        </is>
      </c>
      <c r="B24" s="2" t="inlineStr">
        <is>
          <t>Path-A</t>
        </is>
      </c>
      <c r="C24" s="2" t="n">
        <v>2</v>
      </c>
      <c r="D24" s="2" t="inlineStr">
        <is>
          <t>A1</t>
        </is>
      </c>
      <c r="E24" s="2" t="n">
        <v>750</v>
      </c>
      <c r="F24" s="2" t="n">
        <v>170</v>
      </c>
    </row>
    <row r="25" ht="15" customHeight="1">
      <c r="A25" s="2" t="inlineStr">
        <is>
          <t>RS04</t>
        </is>
      </c>
      <c r="B25" s="2" t="inlineStr">
        <is>
          <t>Path-A</t>
        </is>
      </c>
      <c r="C25" s="2" t="n">
        <v>3</v>
      </c>
      <c r="D25" s="2" t="inlineStr">
        <is>
          <t>CUSTOMER</t>
        </is>
      </c>
      <c r="E25" s="2" t="n">
        <v>1662</v>
      </c>
      <c r="F25" s="2" t="n">
        <v>460</v>
      </c>
    </row>
    <row r="26" ht="15" customHeight="1">
      <c r="A26" s="2" t="inlineStr">
        <is>
          <t>RS04</t>
        </is>
      </c>
      <c r="B26" s="2" t="inlineStr">
        <is>
          <t>Path-B</t>
        </is>
      </c>
      <c r="C26" s="2" t="n">
        <v>1</v>
      </c>
      <c r="D26" s="2" t="inlineStr">
        <is>
          <t>DEPOT</t>
        </is>
      </c>
      <c r="E26" s="2" t="n">
        <v>0</v>
      </c>
      <c r="F26" s="2" t="n">
        <v>0</v>
      </c>
    </row>
    <row r="27" ht="15" customHeight="1">
      <c r="A27" s="2" t="inlineStr">
        <is>
          <t>RS04</t>
        </is>
      </c>
      <c r="B27" s="2" t="inlineStr">
        <is>
          <t>Path-B</t>
        </is>
      </c>
      <c r="C27" s="2" t="n">
        <v>2</v>
      </c>
      <c r="D27" s="2" t="inlineStr">
        <is>
          <t>B1</t>
        </is>
      </c>
      <c r="E27" s="2" t="n">
        <v>933</v>
      </c>
      <c r="F27" s="2" t="n">
        <v>-339</v>
      </c>
    </row>
    <row r="28" ht="15" customHeight="1">
      <c r="A28" s="2" t="inlineStr">
        <is>
          <t>RS04</t>
        </is>
      </c>
      <c r="B28" s="2" t="inlineStr">
        <is>
          <t>Path-B</t>
        </is>
      </c>
      <c r="C28" s="2" t="n">
        <v>3</v>
      </c>
      <c r="D28" s="2" t="inlineStr">
        <is>
          <t>B2</t>
        </is>
      </c>
      <c r="E28" s="2" t="n">
        <v>1655</v>
      </c>
      <c r="F28" s="2" t="n">
        <v>-71</v>
      </c>
    </row>
    <row r="29" ht="15" customHeight="1">
      <c r="A29" s="2" t="inlineStr">
        <is>
          <t>RS04</t>
        </is>
      </c>
      <c r="B29" s="2" t="inlineStr">
        <is>
          <t>Path-B</t>
        </is>
      </c>
      <c r="C29" s="2" t="n">
        <v>4</v>
      </c>
      <c r="D29" s="2" t="inlineStr">
        <is>
          <t>CUSTOMER</t>
        </is>
      </c>
      <c r="E29" s="2" t="n">
        <v>1662</v>
      </c>
      <c r="F29" s="2" t="n">
        <v>460</v>
      </c>
    </row>
    <row r="30" ht="15" customHeight="1">
      <c r="A30" s="2" t="inlineStr">
        <is>
          <t>RS05</t>
        </is>
      </c>
      <c r="B30" s="2" t="inlineStr">
        <is>
          <t>Path-A</t>
        </is>
      </c>
      <c r="C30" s="2" t="n">
        <v>1</v>
      </c>
      <c r="D30" s="2" t="inlineStr">
        <is>
          <t>DEPOT</t>
        </is>
      </c>
      <c r="E30" s="2" t="n">
        <v>0</v>
      </c>
      <c r="F30" s="2" t="n">
        <v>0</v>
      </c>
    </row>
    <row r="31" ht="15" customHeight="1">
      <c r="A31" s="2" t="inlineStr">
        <is>
          <t>RS05</t>
        </is>
      </c>
      <c r="B31" s="2" t="inlineStr">
        <is>
          <t>Path-A</t>
        </is>
      </c>
      <c r="C31" s="2" t="n">
        <v>2</v>
      </c>
      <c r="D31" s="2" t="inlineStr">
        <is>
          <t>A1</t>
        </is>
      </c>
      <c r="E31" s="2" t="n">
        <v>-30</v>
      </c>
      <c r="F31" s="2" t="n">
        <v>768</v>
      </c>
    </row>
    <row r="32" ht="15" customHeight="1">
      <c r="A32" s="2" t="inlineStr">
        <is>
          <t>RS05</t>
        </is>
      </c>
      <c r="B32" s="2" t="inlineStr">
        <is>
          <t>Path-A</t>
        </is>
      </c>
      <c r="C32" s="2" t="n">
        <v>3</v>
      </c>
      <c r="D32" s="2" t="inlineStr">
        <is>
          <t>CUSTOMER</t>
        </is>
      </c>
      <c r="E32" s="2" t="n">
        <v>14</v>
      </c>
      <c r="F32" s="2" t="n">
        <v>1724</v>
      </c>
    </row>
    <row r="33" ht="15" customHeight="1">
      <c r="A33" s="2" t="inlineStr">
        <is>
          <t>RS05</t>
        </is>
      </c>
      <c r="B33" s="2" t="inlineStr">
        <is>
          <t>Path-B</t>
        </is>
      </c>
      <c r="C33" s="2" t="n">
        <v>1</v>
      </c>
      <c r="D33" s="2" t="inlineStr">
        <is>
          <t>DEPOT</t>
        </is>
      </c>
      <c r="E33" s="2" t="n">
        <v>0</v>
      </c>
      <c r="F33" s="2" t="n">
        <v>0</v>
      </c>
    </row>
    <row r="34" ht="15" customHeight="1">
      <c r="A34" s="2" t="inlineStr">
        <is>
          <t>RS05</t>
        </is>
      </c>
      <c r="B34" s="2" t="inlineStr">
        <is>
          <t>Path-B</t>
        </is>
      </c>
      <c r="C34" s="2" t="n">
        <v>2</v>
      </c>
      <c r="D34" s="2" t="inlineStr">
        <is>
          <t>B1</t>
        </is>
      </c>
      <c r="E34" s="2" t="n">
        <v>-569</v>
      </c>
      <c r="F34" s="2" t="n">
        <v>814</v>
      </c>
    </row>
    <row r="35" ht="15" customHeight="1">
      <c r="A35" s="2" t="inlineStr">
        <is>
          <t>RS05</t>
        </is>
      </c>
      <c r="B35" s="2" t="inlineStr">
        <is>
          <t>Path-B</t>
        </is>
      </c>
      <c r="C35" s="2" t="n">
        <v>3</v>
      </c>
      <c r="D35" s="2" t="inlineStr">
        <is>
          <t>B2</t>
        </is>
      </c>
      <c r="E35" s="2" t="n">
        <v>-497</v>
      </c>
      <c r="F35" s="2" t="n">
        <v>1580</v>
      </c>
    </row>
    <row r="36" ht="15" customHeight="1">
      <c r="A36" s="2" t="inlineStr">
        <is>
          <t>RS05</t>
        </is>
      </c>
      <c r="B36" s="2" t="inlineStr">
        <is>
          <t>Path-B</t>
        </is>
      </c>
      <c r="C36" s="2" t="n">
        <v>4</v>
      </c>
      <c r="D36" s="2" t="inlineStr">
        <is>
          <t>CUSTOMER</t>
        </is>
      </c>
      <c r="E36" s="2" t="n">
        <v>14</v>
      </c>
      <c r="F36" s="2" t="n">
        <v>1724</v>
      </c>
    </row>
    <row r="37" ht="15" customHeight="1">
      <c r="A37" s="2" t="inlineStr">
        <is>
          <t>RS06</t>
        </is>
      </c>
      <c r="B37" s="2" t="inlineStr">
        <is>
          <t>Path-A</t>
        </is>
      </c>
      <c r="C37" s="2" t="n">
        <v>1</v>
      </c>
      <c r="D37" s="2" t="inlineStr">
        <is>
          <t>DEPOT</t>
        </is>
      </c>
      <c r="E37" s="2" t="n">
        <v>0</v>
      </c>
      <c r="F37" s="2" t="n">
        <v>0</v>
      </c>
    </row>
    <row r="38" ht="15" customHeight="1">
      <c r="A38" s="2" t="inlineStr">
        <is>
          <t>RS06</t>
        </is>
      </c>
      <c r="B38" s="2" t="inlineStr">
        <is>
          <t>Path-A</t>
        </is>
      </c>
      <c r="C38" s="2" t="n">
        <v>2</v>
      </c>
      <c r="D38" s="2" t="inlineStr">
        <is>
          <t>A1</t>
        </is>
      </c>
      <c r="E38" s="2" t="n">
        <v>564</v>
      </c>
      <c r="F38" s="2" t="n">
        <v>522</v>
      </c>
    </row>
    <row r="39" ht="15" customHeight="1">
      <c r="A39" s="2" t="inlineStr">
        <is>
          <t>RS06</t>
        </is>
      </c>
      <c r="B39" s="2" t="inlineStr">
        <is>
          <t>Path-A</t>
        </is>
      </c>
      <c r="C39" s="2" t="n">
        <v>3</v>
      </c>
      <c r="D39" s="2" t="inlineStr">
        <is>
          <t>CUSTOMER</t>
        </is>
      </c>
      <c r="E39" s="2" t="n">
        <v>1209</v>
      </c>
      <c r="F39" s="2" t="n">
        <v>1229</v>
      </c>
    </row>
    <row r="40" ht="15" customHeight="1">
      <c r="A40" s="2" t="inlineStr">
        <is>
          <t>RS06</t>
        </is>
      </c>
      <c r="B40" s="2" t="inlineStr">
        <is>
          <t>Path-B</t>
        </is>
      </c>
      <c r="C40" s="2" t="n">
        <v>1</v>
      </c>
      <c r="D40" s="2" t="inlineStr">
        <is>
          <t>DEPOT</t>
        </is>
      </c>
      <c r="E40" s="2" t="n">
        <v>0</v>
      </c>
      <c r="F40" s="2" t="n">
        <v>0</v>
      </c>
    </row>
    <row r="41" ht="15" customHeight="1">
      <c r="A41" s="2" t="inlineStr">
        <is>
          <t>RS06</t>
        </is>
      </c>
      <c r="B41" s="2" t="inlineStr">
        <is>
          <t>Path-B</t>
        </is>
      </c>
      <c r="C41" s="2" t="n">
        <v>2</v>
      </c>
      <c r="D41" s="2" t="inlineStr">
        <is>
          <t>B1</t>
        </is>
      </c>
      <c r="E41" s="2" t="n">
        <v>978</v>
      </c>
      <c r="F41" s="2" t="n">
        <v>173</v>
      </c>
    </row>
    <row r="42" ht="15" customHeight="1">
      <c r="A42" s="2" t="inlineStr">
        <is>
          <t>RS06</t>
        </is>
      </c>
      <c r="B42" s="2" t="inlineStr">
        <is>
          <t>Path-B</t>
        </is>
      </c>
      <c r="C42" s="2" t="n">
        <v>3</v>
      </c>
      <c r="D42" s="2" t="inlineStr">
        <is>
          <t>B2</t>
        </is>
      </c>
      <c r="E42" s="2" t="n">
        <v>1468</v>
      </c>
      <c r="F42" s="2" t="n">
        <v>766</v>
      </c>
    </row>
    <row r="43" ht="15" customHeight="1">
      <c r="A43" s="2" t="inlineStr">
        <is>
          <t>RS06</t>
        </is>
      </c>
      <c r="B43" s="2" t="inlineStr">
        <is>
          <t>Path-B</t>
        </is>
      </c>
      <c r="C43" s="2" t="n">
        <v>4</v>
      </c>
      <c r="D43" s="2" t="inlineStr">
        <is>
          <t>CUSTOMER</t>
        </is>
      </c>
      <c r="E43" s="2" t="n">
        <v>1209</v>
      </c>
      <c r="F43" s="2" t="n">
        <v>1229</v>
      </c>
    </row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0" workbookViewId="0">
      <selection activeCell="A1" sqref="A1"/>
    </sheetView>
  </sheetViews>
  <sheetFormatPr baseColWidth="8" defaultRowHeight="15"/>
  <cols>
    <col width="5.130000114440918" customWidth="1" min="1" max="1"/>
    <col width="8.380000114440918" customWidth="1" min="2" max="2"/>
    <col width="6" customWidth="1" min="3" max="3"/>
    <col width="9" customWidth="1" min="4" max="4"/>
    <col width="8.880000114440918" customWidth="1" min="5" max="5"/>
    <col width="7.75" customWidth="1" min="6" max="6"/>
    <col width="14.13000011444092" customWidth="1" min="7" max="7"/>
    <col width="11.5" customWidth="1" min="8" max="8"/>
    <col width="11.75" customWidth="1" min="9" max="9"/>
    <col width="13.63000011444092" customWidth="1" min="10" max="10"/>
  </cols>
  <sheetData>
    <row r="1" ht="26" customHeight="1">
      <c r="A1" s="5" t="inlineStr">
        <is>
          <t>trialId</t>
        </is>
      </c>
      <c r="B1" s="5" t="inlineStr">
        <is>
          <t>timeLayer</t>
        </is>
      </c>
      <c r="C1" s="5" t="inlineStr">
        <is>
          <t>zoneId</t>
        </is>
      </c>
      <c r="D1" s="5" t="inlineStr">
        <is>
          <t>centerX_m</t>
        </is>
      </c>
      <c r="E1" s="5" t="inlineStr">
        <is>
          <t>centerY_m</t>
        </is>
      </c>
      <c r="F1" s="5" t="inlineStr">
        <is>
          <t>radius_m</t>
        </is>
      </c>
      <c r="G1" s="5" t="inlineStr">
        <is>
          <t>meanSpeed_mps</t>
        </is>
      </c>
      <c r="H1" s="5" t="inlineStr">
        <is>
          <t>direction_deg</t>
        </is>
      </c>
      <c r="I1" s="5" t="inlineStr">
        <is>
          <t>speedSD_mps</t>
        </is>
      </c>
      <c r="J1" s="5" t="inlineStr">
        <is>
          <t>directionSD_deg</t>
        </is>
      </c>
    </row>
    <row r="2" ht="15" customHeight="1">
      <c r="A2" s="2" t="n">
        <v>1</v>
      </c>
      <c r="B2" s="2" t="n">
        <v>0</v>
      </c>
      <c r="C2" s="2" t="inlineStr">
        <is>
          <t>W1</t>
        </is>
      </c>
      <c r="D2" s="2" t="n">
        <v>364.828519109174</v>
      </c>
      <c r="E2" s="2" t="n">
        <v>230.1226043611713</v>
      </c>
      <c r="F2" s="2" t="n">
        <v>350</v>
      </c>
      <c r="G2" s="20" t="n">
        <v>17</v>
      </c>
      <c r="H2" s="20" t="n">
        <v>67.24246783912332</v>
      </c>
      <c r="I2" s="20" t="n">
        <v>0.5</v>
      </c>
      <c r="J2" s="20" t="n">
        <v>12</v>
      </c>
    </row>
    <row r="3" ht="15" customHeight="1">
      <c r="A3" s="2" t="n">
        <v>1</v>
      </c>
      <c r="B3" s="2" t="n">
        <v>0</v>
      </c>
      <c r="C3" s="2" t="inlineStr">
        <is>
          <t>W2</t>
        </is>
      </c>
      <c r="D3" s="2" t="n">
        <v>1116.937508419657</v>
      </c>
      <c r="E3" s="2" t="n">
        <v>651.7088278878227</v>
      </c>
      <c r="F3" s="2" t="n">
        <v>350</v>
      </c>
      <c r="G3" s="20" t="n">
        <v>8</v>
      </c>
      <c r="H3" s="20" t="n">
        <v>172.3682104288882</v>
      </c>
      <c r="I3" s="20" t="n">
        <v>0.5</v>
      </c>
      <c r="J3" s="20" t="n">
        <v>12</v>
      </c>
    </row>
    <row r="4" ht="15" customHeight="1">
      <c r="A4" s="2" t="n">
        <v>1</v>
      </c>
      <c r="B4" s="2" t="n">
        <v>1</v>
      </c>
      <c r="C4" s="2" t="inlineStr">
        <is>
          <t>W1</t>
        </is>
      </c>
      <c r="D4" s="2" t="n">
        <v>364.828519109174</v>
      </c>
      <c r="E4" s="2" t="n">
        <v>230.1226043611713</v>
      </c>
      <c r="F4" s="2" t="n">
        <v>350</v>
      </c>
      <c r="G4" s="20" t="n">
        <v>5</v>
      </c>
      <c r="H4" s="20" t="n">
        <v>122.2424678391233</v>
      </c>
      <c r="I4" s="20" t="n">
        <v>0.5</v>
      </c>
      <c r="J4" s="20" t="n">
        <v>12</v>
      </c>
    </row>
    <row r="5" ht="15" customHeight="1">
      <c r="A5" s="2" t="n">
        <v>1</v>
      </c>
      <c r="B5" s="2" t="n">
        <v>1</v>
      </c>
      <c r="C5" s="2" t="inlineStr">
        <is>
          <t>W2</t>
        </is>
      </c>
      <c r="D5" s="2" t="n">
        <v>1116.937508419657</v>
      </c>
      <c r="E5" s="2" t="n">
        <v>651.7088278878227</v>
      </c>
      <c r="F5" s="2" t="n">
        <v>350</v>
      </c>
      <c r="G5" s="20" t="n">
        <v>17</v>
      </c>
      <c r="H5" s="20" t="n">
        <v>117.3682104288882</v>
      </c>
      <c r="I5" s="20" t="n">
        <v>0.5</v>
      </c>
      <c r="J5" s="20" t="n">
        <v>12</v>
      </c>
    </row>
    <row r="6" ht="15" customHeight="1">
      <c r="A6" s="2" t="n">
        <v>1</v>
      </c>
      <c r="B6" s="2" t="n">
        <v>2</v>
      </c>
      <c r="C6" s="2" t="inlineStr">
        <is>
          <t>W1</t>
        </is>
      </c>
      <c r="D6" s="2" t="n">
        <v>364.828519109174</v>
      </c>
      <c r="E6" s="2" t="n">
        <v>230.1226043611713</v>
      </c>
      <c r="F6" s="2" t="n">
        <v>350</v>
      </c>
      <c r="G6" s="20" t="n">
        <v>20</v>
      </c>
      <c r="H6" s="20" t="n">
        <v>177.2424678391233</v>
      </c>
      <c r="I6" s="20" t="n">
        <v>0.5</v>
      </c>
      <c r="J6" s="20" t="n">
        <v>12</v>
      </c>
    </row>
    <row r="7" ht="15" customHeight="1">
      <c r="A7" s="2" t="n">
        <v>1</v>
      </c>
      <c r="B7" s="2" t="n">
        <v>2</v>
      </c>
      <c r="C7" s="2" t="inlineStr">
        <is>
          <t>W2</t>
        </is>
      </c>
      <c r="D7" s="2" t="n">
        <v>1116.937508419657</v>
      </c>
      <c r="E7" s="2" t="n">
        <v>651.7088278878227</v>
      </c>
      <c r="F7" s="2" t="n">
        <v>350</v>
      </c>
      <c r="G7" s="20" t="n">
        <v>20</v>
      </c>
      <c r="H7" s="20" t="n">
        <v>172.3682104288882</v>
      </c>
      <c r="I7" s="20" t="n">
        <v>0.5</v>
      </c>
      <c r="J7" s="20" t="n">
        <v>12</v>
      </c>
    </row>
    <row r="8" ht="15" customHeight="1">
      <c r="A8" s="2" t="n">
        <v>2</v>
      </c>
      <c r="B8" s="2" t="n">
        <v>0</v>
      </c>
      <c r="C8" s="2" t="inlineStr">
        <is>
          <t>W1</t>
        </is>
      </c>
      <c r="D8" s="2" t="n">
        <v>411.9668193298857</v>
      </c>
      <c r="E8" s="2" t="n">
        <v>-127.9678948327165</v>
      </c>
      <c r="F8" s="2" t="n">
        <v>225</v>
      </c>
      <c r="G8" s="20" t="n">
        <v>8</v>
      </c>
      <c r="H8" s="20" t="n">
        <v>127.7438103469892</v>
      </c>
      <c r="I8" s="20" t="n">
        <v>0.5</v>
      </c>
      <c r="J8" s="20" t="n">
        <v>12</v>
      </c>
    </row>
    <row r="9" ht="15" customHeight="1">
      <c r="A9" s="2" t="n">
        <v>2</v>
      </c>
      <c r="B9" s="2" t="n">
        <v>0</v>
      </c>
      <c r="C9" s="2" t="inlineStr">
        <is>
          <t>W2</t>
        </is>
      </c>
      <c r="D9" s="2" t="n">
        <v>1247.62478713668</v>
      </c>
      <c r="E9" s="2" t="n">
        <v>-340.6129212438709</v>
      </c>
      <c r="F9" s="2" t="n">
        <v>225</v>
      </c>
      <c r="G9" s="20" t="n">
        <v>5</v>
      </c>
      <c r="H9" s="20" t="n">
        <v>132.6335028467852</v>
      </c>
      <c r="I9" s="20" t="n">
        <v>0.5</v>
      </c>
      <c r="J9" s="20" t="n">
        <v>12</v>
      </c>
    </row>
    <row r="10" ht="15" customHeight="1">
      <c r="A10" s="2" t="n">
        <v>2</v>
      </c>
      <c r="B10" s="2" t="n">
        <v>1</v>
      </c>
      <c r="C10" s="2" t="inlineStr">
        <is>
          <t>W1</t>
        </is>
      </c>
      <c r="D10" s="2" t="n">
        <v>411.9668193298857</v>
      </c>
      <c r="E10" s="2" t="n">
        <v>-127.9678948327165</v>
      </c>
      <c r="F10" s="2" t="n">
        <v>225</v>
      </c>
      <c r="G10" s="20" t="n">
        <v>8</v>
      </c>
      <c r="H10" s="20" t="n">
        <v>127.7438103469892</v>
      </c>
      <c r="I10" s="20" t="n">
        <v>0.5</v>
      </c>
      <c r="J10" s="20" t="n">
        <v>12</v>
      </c>
    </row>
    <row r="11" ht="15" customHeight="1">
      <c r="A11" s="2" t="n">
        <v>2</v>
      </c>
      <c r="B11" s="2" t="n">
        <v>1</v>
      </c>
      <c r="C11" s="2" t="inlineStr">
        <is>
          <t>W2</t>
        </is>
      </c>
      <c r="D11" s="2" t="n">
        <v>1247.62478713668</v>
      </c>
      <c r="E11" s="2" t="n">
        <v>-340.6129212438709</v>
      </c>
      <c r="F11" s="2" t="n">
        <v>225</v>
      </c>
      <c r="G11" s="20" t="n">
        <v>14</v>
      </c>
      <c r="H11" s="20" t="n">
        <v>77.63350284678518</v>
      </c>
      <c r="I11" s="20" t="n">
        <v>0.5</v>
      </c>
      <c r="J11" s="20" t="n">
        <v>12</v>
      </c>
    </row>
    <row r="12" ht="15" customHeight="1">
      <c r="A12" s="2" t="n">
        <v>2</v>
      </c>
      <c r="B12" s="2" t="n">
        <v>2</v>
      </c>
      <c r="C12" s="2" t="inlineStr">
        <is>
          <t>W1</t>
        </is>
      </c>
      <c r="D12" s="2" t="n">
        <v>411.9668193298857</v>
      </c>
      <c r="E12" s="2" t="n">
        <v>-127.9678948327165</v>
      </c>
      <c r="F12" s="2" t="n">
        <v>225</v>
      </c>
      <c r="G12" s="20" t="n">
        <v>17</v>
      </c>
      <c r="H12" s="20" t="n">
        <v>17.74381034698922</v>
      </c>
      <c r="I12" s="20" t="n">
        <v>0.5</v>
      </c>
      <c r="J12" s="20" t="n">
        <v>12</v>
      </c>
    </row>
    <row r="13" ht="15" customHeight="1">
      <c r="A13" s="2" t="n">
        <v>2</v>
      </c>
      <c r="B13" s="2" t="n">
        <v>2</v>
      </c>
      <c r="C13" s="2" t="inlineStr">
        <is>
          <t>W2</t>
        </is>
      </c>
      <c r="D13" s="2" t="n">
        <v>1247.62478713668</v>
      </c>
      <c r="E13" s="2" t="n">
        <v>-340.6129212438709</v>
      </c>
      <c r="F13" s="2" t="n">
        <v>225</v>
      </c>
      <c r="G13" s="20" t="n">
        <v>11</v>
      </c>
      <c r="H13" s="20" t="n">
        <v>22.63350284678518</v>
      </c>
      <c r="I13" s="20" t="n">
        <v>0.5</v>
      </c>
      <c r="J13" s="20" t="n">
        <v>12</v>
      </c>
    </row>
    <row r="14" ht="15" customHeight="1">
      <c r="A14" s="2" t="n">
        <v>3</v>
      </c>
      <c r="B14" s="2" t="n">
        <v>0</v>
      </c>
      <c r="C14" s="2" t="inlineStr">
        <is>
          <t>W1</t>
        </is>
      </c>
      <c r="D14" s="2" t="n">
        <v>200.9272327281035</v>
      </c>
      <c r="E14" s="2" t="n">
        <v>381.6494923327107</v>
      </c>
      <c r="F14" s="2" t="n">
        <v>350</v>
      </c>
      <c r="G14" s="20" t="n">
        <v>11</v>
      </c>
      <c r="H14" s="20" t="n">
        <v>152.2345144560027</v>
      </c>
      <c r="I14" s="20" t="n">
        <v>1</v>
      </c>
      <c r="J14" s="20" t="n">
        <v>35</v>
      </c>
    </row>
    <row r="15" ht="15" customHeight="1">
      <c r="A15" s="2" t="n">
        <v>3</v>
      </c>
      <c r="B15" s="2" t="n">
        <v>0</v>
      </c>
      <c r="C15" s="2" t="inlineStr">
        <is>
          <t>W2</t>
        </is>
      </c>
      <c r="D15" s="2" t="n">
        <v>641.4497397663461</v>
      </c>
      <c r="E15" s="2" t="n">
        <v>1122.752888084641</v>
      </c>
      <c r="F15" s="2" t="n">
        <v>350</v>
      </c>
      <c r="G15" s="20" t="n">
        <v>14</v>
      </c>
      <c r="H15" s="20" t="n">
        <v>202.3726888052932</v>
      </c>
      <c r="I15" s="20" t="n">
        <v>1</v>
      </c>
      <c r="J15" s="20" t="n">
        <v>35</v>
      </c>
    </row>
    <row r="16" ht="15" customHeight="1">
      <c r="A16" s="2" t="n">
        <v>3</v>
      </c>
      <c r="B16" s="2" t="n">
        <v>1</v>
      </c>
      <c r="C16" s="2" t="inlineStr">
        <is>
          <t>W1</t>
        </is>
      </c>
      <c r="D16" s="2" t="n">
        <v>200.9272327281035</v>
      </c>
      <c r="E16" s="2" t="n">
        <v>381.6494923327107</v>
      </c>
      <c r="F16" s="2" t="n">
        <v>350</v>
      </c>
      <c r="G16" s="20" t="n">
        <v>20</v>
      </c>
      <c r="H16" s="20" t="n">
        <v>152.2345144560027</v>
      </c>
      <c r="I16" s="20" t="n">
        <v>1</v>
      </c>
      <c r="J16" s="20" t="n">
        <v>35</v>
      </c>
    </row>
    <row r="17" ht="15" customHeight="1">
      <c r="A17" s="2" t="n">
        <v>3</v>
      </c>
      <c r="B17" s="2" t="n">
        <v>1</v>
      </c>
      <c r="C17" s="2" t="inlineStr">
        <is>
          <t>W2</t>
        </is>
      </c>
      <c r="D17" s="2" t="n">
        <v>641.4497397663461</v>
      </c>
      <c r="E17" s="2" t="n">
        <v>1122.752888084641</v>
      </c>
      <c r="F17" s="2" t="n">
        <v>350</v>
      </c>
      <c r="G17" s="20" t="n">
        <v>20</v>
      </c>
      <c r="H17" s="20" t="n">
        <v>202.3726888052932</v>
      </c>
      <c r="I17" s="20" t="n">
        <v>1</v>
      </c>
      <c r="J17" s="20" t="n">
        <v>35</v>
      </c>
    </row>
    <row r="18" ht="15" customHeight="1">
      <c r="A18" s="2" t="n">
        <v>3</v>
      </c>
      <c r="B18" s="2" t="n">
        <v>2</v>
      </c>
      <c r="C18" s="2" t="inlineStr">
        <is>
          <t>W1</t>
        </is>
      </c>
      <c r="D18" s="2" t="n">
        <v>200.9272327281035</v>
      </c>
      <c r="E18" s="2" t="n">
        <v>381.6494923327107</v>
      </c>
      <c r="F18" s="2" t="n">
        <v>350</v>
      </c>
      <c r="G18" s="20" t="n">
        <v>11</v>
      </c>
      <c r="H18" s="20" t="n">
        <v>97.23451445600271</v>
      </c>
      <c r="I18" s="20" t="n">
        <v>1</v>
      </c>
      <c r="J18" s="20" t="n">
        <v>35</v>
      </c>
    </row>
    <row r="19" ht="15" customHeight="1">
      <c r="A19" s="2" t="n">
        <v>3</v>
      </c>
      <c r="B19" s="2" t="n">
        <v>2</v>
      </c>
      <c r="C19" s="2" t="inlineStr">
        <is>
          <t>W2</t>
        </is>
      </c>
      <c r="D19" s="2" t="n">
        <v>641.4497397663461</v>
      </c>
      <c r="E19" s="2" t="n">
        <v>1122.752888084641</v>
      </c>
      <c r="F19" s="2" t="n">
        <v>350</v>
      </c>
      <c r="G19" s="20" t="n">
        <v>2</v>
      </c>
      <c r="H19" s="20" t="n">
        <v>202.3726888052932</v>
      </c>
      <c r="I19" s="20" t="n">
        <v>1</v>
      </c>
      <c r="J19" s="20" t="n">
        <v>35</v>
      </c>
    </row>
    <row r="20" ht="15" customHeight="1">
      <c r="A20" s="2" t="n">
        <v>4</v>
      </c>
      <c r="B20" s="2" t="n">
        <v>0</v>
      </c>
      <c r="C20" s="2" t="inlineStr">
        <is>
          <t>W1</t>
        </is>
      </c>
      <c r="D20" s="2" t="n">
        <v>420.7657325585956</v>
      </c>
      <c r="E20" s="2" t="n">
        <v>95.37356604661501</v>
      </c>
      <c r="F20" s="2" t="n">
        <v>275</v>
      </c>
      <c r="G20" s="20" t="n">
        <v>5</v>
      </c>
      <c r="H20" s="20" t="n">
        <v>47.77124256490144</v>
      </c>
      <c r="I20" s="20" t="n">
        <v>1</v>
      </c>
      <c r="J20" s="20" t="n">
        <v>35</v>
      </c>
    </row>
    <row r="21" ht="15" customHeight="1">
      <c r="A21" s="2" t="n">
        <v>4</v>
      </c>
      <c r="B21" s="2" t="n">
        <v>0</v>
      </c>
      <c r="C21" s="2" t="inlineStr">
        <is>
          <t>W2</t>
        </is>
      </c>
      <c r="D21" s="2" t="n">
        <v>1250.846637740001</v>
      </c>
      <c r="E21" s="2" t="n">
        <v>329.260444018202</v>
      </c>
      <c r="F21" s="2" t="n">
        <v>275</v>
      </c>
      <c r="G21" s="20" t="n">
        <v>17</v>
      </c>
      <c r="H21" s="20" t="n">
        <v>107.6397511269842</v>
      </c>
      <c r="I21" s="20" t="n">
        <v>1</v>
      </c>
      <c r="J21" s="20" t="n">
        <v>35</v>
      </c>
    </row>
    <row r="22" ht="15" customHeight="1">
      <c r="A22" s="2" t="n">
        <v>4</v>
      </c>
      <c r="B22" s="2" t="n">
        <v>1</v>
      </c>
      <c r="C22" s="2" t="inlineStr">
        <is>
          <t>W1</t>
        </is>
      </c>
      <c r="D22" s="2" t="n">
        <v>420.7657325585956</v>
      </c>
      <c r="E22" s="2" t="n">
        <v>95.37356604661501</v>
      </c>
      <c r="F22" s="2" t="n">
        <v>275</v>
      </c>
      <c r="G22" s="20" t="n">
        <v>2</v>
      </c>
      <c r="H22" s="20" t="n">
        <v>102.7712425649014</v>
      </c>
      <c r="I22" s="20" t="n">
        <v>1</v>
      </c>
      <c r="J22" s="20" t="n">
        <v>35</v>
      </c>
    </row>
    <row r="23" ht="15" customHeight="1">
      <c r="A23" s="2" t="n">
        <v>4</v>
      </c>
      <c r="B23" s="2" t="n">
        <v>1</v>
      </c>
      <c r="C23" s="2" t="inlineStr">
        <is>
          <t>W2</t>
        </is>
      </c>
      <c r="D23" s="2" t="n">
        <v>1250.846637740001</v>
      </c>
      <c r="E23" s="2" t="n">
        <v>329.260444018202</v>
      </c>
      <c r="F23" s="2" t="n">
        <v>275</v>
      </c>
      <c r="G23" s="20" t="n">
        <v>17</v>
      </c>
      <c r="H23" s="20" t="n">
        <v>162.6397511269842</v>
      </c>
      <c r="I23" s="20" t="n">
        <v>1</v>
      </c>
      <c r="J23" s="20" t="n">
        <v>35</v>
      </c>
    </row>
    <row r="24" ht="15" customHeight="1">
      <c r="A24" s="2" t="n">
        <v>4</v>
      </c>
      <c r="B24" s="2" t="n">
        <v>2</v>
      </c>
      <c r="C24" s="2" t="inlineStr">
        <is>
          <t>W1</t>
        </is>
      </c>
      <c r="D24" s="2" t="n">
        <v>420.7657325585956</v>
      </c>
      <c r="E24" s="2" t="n">
        <v>95.37356604661501</v>
      </c>
      <c r="F24" s="2" t="n">
        <v>275</v>
      </c>
      <c r="G24" s="20" t="n">
        <v>11</v>
      </c>
      <c r="H24" s="20" t="n">
        <v>47.77124256490144</v>
      </c>
      <c r="I24" s="20" t="n">
        <v>1</v>
      </c>
      <c r="J24" s="20" t="n">
        <v>35</v>
      </c>
    </row>
    <row r="25" ht="15" customHeight="1">
      <c r="A25" s="2" t="n">
        <v>4</v>
      </c>
      <c r="B25" s="2" t="n">
        <v>2</v>
      </c>
      <c r="C25" s="2" t="inlineStr">
        <is>
          <t>W2</t>
        </is>
      </c>
      <c r="D25" s="2" t="n">
        <v>1250.846637740001</v>
      </c>
      <c r="E25" s="2" t="n">
        <v>329.260444018202</v>
      </c>
      <c r="F25" s="2" t="n">
        <v>275</v>
      </c>
      <c r="G25" s="20" t="n">
        <v>17</v>
      </c>
      <c r="H25" s="20" t="n">
        <v>107.6397511269842</v>
      </c>
      <c r="I25" s="20" t="n">
        <v>1</v>
      </c>
      <c r="J25" s="20" t="n">
        <v>35</v>
      </c>
    </row>
    <row r="26" ht="15" customHeight="1">
      <c r="A26" s="2" t="n">
        <v>5</v>
      </c>
      <c r="B26" s="2" t="n">
        <v>0</v>
      </c>
      <c r="C26" s="2" t="inlineStr">
        <is>
          <t>W1</t>
        </is>
      </c>
      <c r="D26" s="2" t="n">
        <v>-16.83610109257748</v>
      </c>
      <c r="E26" s="2" t="n">
        <v>431.0041879699835</v>
      </c>
      <c r="F26" s="2" t="n">
        <v>225</v>
      </c>
      <c r="G26" s="20" t="n">
        <v>2</v>
      </c>
      <c r="H26" s="20" t="n">
        <v>237.2369790634377</v>
      </c>
      <c r="I26" s="20" t="n">
        <v>1.5</v>
      </c>
      <c r="J26" s="20" t="n">
        <v>60</v>
      </c>
    </row>
    <row r="27" ht="15" customHeight="1">
      <c r="A27" s="2" t="n">
        <v>5</v>
      </c>
      <c r="B27" s="2" t="n">
        <v>0</v>
      </c>
      <c r="C27" s="2" t="inlineStr">
        <is>
          <t>W2</t>
        </is>
      </c>
      <c r="D27" s="2" t="n">
        <v>-5.831148355401432</v>
      </c>
      <c r="E27" s="2" t="n">
        <v>1293.123231187187</v>
      </c>
      <c r="F27" s="2" t="n">
        <v>225</v>
      </c>
      <c r="G27" s="20" t="n">
        <v>14</v>
      </c>
      <c r="H27" s="20" t="n">
        <v>122.3648154175486</v>
      </c>
      <c r="I27" s="20" t="n">
        <v>1.5</v>
      </c>
      <c r="J27" s="20" t="n">
        <v>60</v>
      </c>
    </row>
    <row r="28" ht="15" customHeight="1">
      <c r="A28" s="2" t="n">
        <v>5</v>
      </c>
      <c r="B28" s="2" t="n">
        <v>1</v>
      </c>
      <c r="C28" s="2" t="inlineStr">
        <is>
          <t>W1</t>
        </is>
      </c>
      <c r="D28" s="2" t="n">
        <v>-16.83610109257748</v>
      </c>
      <c r="E28" s="2" t="n">
        <v>431.0041879699835</v>
      </c>
      <c r="F28" s="2" t="n">
        <v>225</v>
      </c>
      <c r="G28" s="20" t="n">
        <v>14</v>
      </c>
      <c r="H28" s="20" t="n">
        <v>127.2369790634377</v>
      </c>
      <c r="I28" s="20" t="n">
        <v>1.5</v>
      </c>
      <c r="J28" s="20" t="n">
        <v>60</v>
      </c>
    </row>
    <row r="29" ht="15" customHeight="1">
      <c r="A29" s="2" t="n">
        <v>5</v>
      </c>
      <c r="B29" s="2" t="n">
        <v>1</v>
      </c>
      <c r="C29" s="2" t="inlineStr">
        <is>
          <t>W2</t>
        </is>
      </c>
      <c r="D29" s="2" t="n">
        <v>-5.831148355401432</v>
      </c>
      <c r="E29" s="2" t="n">
        <v>1293.123231187187</v>
      </c>
      <c r="F29" s="2" t="n">
        <v>225</v>
      </c>
      <c r="G29" s="20" t="n">
        <v>17</v>
      </c>
      <c r="H29" s="20" t="n">
        <v>122.3648154175486</v>
      </c>
      <c r="I29" s="20" t="n">
        <v>1.5</v>
      </c>
      <c r="J29" s="20" t="n">
        <v>60</v>
      </c>
    </row>
    <row r="30" ht="15" customHeight="1">
      <c r="A30" s="2" t="n">
        <v>5</v>
      </c>
      <c r="B30" s="2" t="n">
        <v>2</v>
      </c>
      <c r="C30" s="2" t="inlineStr">
        <is>
          <t>W1</t>
        </is>
      </c>
      <c r="D30" s="2" t="n">
        <v>-16.83610109257748</v>
      </c>
      <c r="E30" s="2" t="n">
        <v>431.0041879699835</v>
      </c>
      <c r="F30" s="2" t="n">
        <v>225</v>
      </c>
      <c r="G30" s="20" t="n">
        <v>20</v>
      </c>
      <c r="H30" s="20" t="n">
        <v>182.2369790634377</v>
      </c>
      <c r="I30" s="20" t="n">
        <v>1.5</v>
      </c>
      <c r="J30" s="20" t="n">
        <v>60</v>
      </c>
    </row>
    <row r="31" ht="15" customHeight="1">
      <c r="A31" s="2" t="n">
        <v>5</v>
      </c>
      <c r="B31" s="2" t="n">
        <v>2</v>
      </c>
      <c r="C31" s="2" t="inlineStr">
        <is>
          <t>W2</t>
        </is>
      </c>
      <c r="D31" s="2" t="n">
        <v>-5.831148355401432</v>
      </c>
      <c r="E31" s="2" t="n">
        <v>1293.123231187187</v>
      </c>
      <c r="F31" s="2" t="n">
        <v>225</v>
      </c>
      <c r="G31" s="20" t="n">
        <v>17</v>
      </c>
      <c r="H31" s="20" t="n">
        <v>122.3648154175486</v>
      </c>
      <c r="I31" s="20" t="n">
        <v>1.5</v>
      </c>
      <c r="J31" s="20" t="n">
        <v>60</v>
      </c>
    </row>
    <row r="32" ht="15" customHeight="1">
      <c r="A32" s="2" t="n">
        <v>6</v>
      </c>
      <c r="B32" s="2" t="n">
        <v>0</v>
      </c>
      <c r="C32" s="2" t="inlineStr">
        <is>
          <t>W1</t>
        </is>
      </c>
      <c r="D32" s="2" t="n">
        <v>316.5409071905244</v>
      </c>
      <c r="E32" s="2" t="n">
        <v>292.9687119742088</v>
      </c>
      <c r="F32" s="2" t="n">
        <v>250</v>
      </c>
      <c r="G32" s="20" t="n">
        <v>5</v>
      </c>
      <c r="H32" s="20" t="n">
        <v>132.7852448726808</v>
      </c>
      <c r="I32" s="20" t="n">
        <v>1.5</v>
      </c>
      <c r="J32" s="20" t="n">
        <v>60</v>
      </c>
    </row>
    <row r="33" ht="15" customHeight="1">
      <c r="A33" s="2" t="n">
        <v>6</v>
      </c>
      <c r="B33" s="2" t="n">
        <v>0</v>
      </c>
      <c r="C33" s="2" t="inlineStr">
        <is>
          <t>W2</t>
        </is>
      </c>
      <c r="D33" s="2" t="n">
        <v>918.3087523471759</v>
      </c>
      <c r="E33" s="2" t="n">
        <v>910.3663378441137</v>
      </c>
      <c r="F33" s="2" t="n">
        <v>250</v>
      </c>
      <c r="G33" s="20" t="n">
        <v>20</v>
      </c>
      <c r="H33" s="20" t="n">
        <v>137.6256296827725</v>
      </c>
      <c r="I33" s="20" t="n">
        <v>1.5</v>
      </c>
      <c r="J33" s="20" t="n">
        <v>60</v>
      </c>
    </row>
    <row r="34" ht="15" customHeight="1">
      <c r="A34" s="2" t="n">
        <v>6</v>
      </c>
      <c r="B34" s="2" t="n">
        <v>1</v>
      </c>
      <c r="C34" s="2" t="inlineStr">
        <is>
          <t>W1</t>
        </is>
      </c>
      <c r="D34" s="2" t="n">
        <v>316.5409071905244</v>
      </c>
      <c r="E34" s="2" t="n">
        <v>292.9687119742088</v>
      </c>
      <c r="F34" s="2" t="n">
        <v>250</v>
      </c>
      <c r="G34" s="20" t="n">
        <v>20</v>
      </c>
      <c r="H34" s="20" t="n">
        <v>187.7852448726808</v>
      </c>
      <c r="I34" s="20" t="n">
        <v>1.5</v>
      </c>
      <c r="J34" s="20" t="n">
        <v>60</v>
      </c>
    </row>
    <row r="35" ht="15" customHeight="1">
      <c r="A35" s="2" t="n">
        <v>6</v>
      </c>
      <c r="B35" s="2" t="n">
        <v>1</v>
      </c>
      <c r="C35" s="2" t="inlineStr">
        <is>
          <t>W2</t>
        </is>
      </c>
      <c r="D35" s="2" t="n">
        <v>918.3087523471759</v>
      </c>
      <c r="E35" s="2" t="n">
        <v>910.3663378441137</v>
      </c>
      <c r="F35" s="2" t="n">
        <v>250</v>
      </c>
      <c r="G35" s="20" t="n">
        <v>20</v>
      </c>
      <c r="H35" s="20" t="n">
        <v>192.6256296827725</v>
      </c>
      <c r="I35" s="20" t="n">
        <v>1.5</v>
      </c>
      <c r="J35" s="20" t="n">
        <v>60</v>
      </c>
    </row>
    <row r="36" ht="15" customHeight="1">
      <c r="A36" s="2" t="n">
        <v>6</v>
      </c>
      <c r="B36" s="2" t="n">
        <v>2</v>
      </c>
      <c r="C36" s="2" t="inlineStr">
        <is>
          <t>W1</t>
        </is>
      </c>
      <c r="D36" s="2" t="n">
        <v>316.5409071905244</v>
      </c>
      <c r="E36" s="2" t="n">
        <v>292.9687119742088</v>
      </c>
      <c r="F36" s="2" t="n">
        <v>250</v>
      </c>
      <c r="G36" s="20" t="n">
        <v>5</v>
      </c>
      <c r="H36" s="20" t="n">
        <v>132.7852448726808</v>
      </c>
      <c r="I36" s="20" t="n">
        <v>1.5</v>
      </c>
      <c r="J36" s="20" t="n">
        <v>60</v>
      </c>
    </row>
    <row r="37" ht="15" customHeight="1">
      <c r="A37" s="2" t="n">
        <v>6</v>
      </c>
      <c r="B37" s="2" t="n">
        <v>2</v>
      </c>
      <c r="C37" s="2" t="inlineStr">
        <is>
          <t>W2</t>
        </is>
      </c>
      <c r="D37" s="2" t="n">
        <v>918.3087523471759</v>
      </c>
      <c r="E37" s="2" t="n">
        <v>910.3663378441137</v>
      </c>
      <c r="F37" s="2" t="n">
        <v>250</v>
      </c>
      <c r="G37" s="20" t="n">
        <v>17</v>
      </c>
      <c r="H37" s="20" t="n">
        <v>82.62562968277254</v>
      </c>
      <c r="I37" s="20" t="n">
        <v>1.5</v>
      </c>
      <c r="J37" s="20" t="n">
        <v>60</v>
      </c>
    </row>
    <row r="38" ht="15" customHeight="1">
      <c r="A38" s="2" t="n">
        <v>7</v>
      </c>
      <c r="B38" s="2" t="n">
        <v>0</v>
      </c>
      <c r="C38" s="2" t="inlineStr">
        <is>
          <t>W1</t>
        </is>
      </c>
      <c r="D38" s="2" t="n">
        <v>200.9272327281035</v>
      </c>
      <c r="E38" s="2" t="n">
        <v>381.6494923327107</v>
      </c>
      <c r="F38" s="2" t="n">
        <v>325</v>
      </c>
      <c r="G38" s="20" t="n">
        <v>11</v>
      </c>
      <c r="H38" s="20" t="n">
        <v>152.2345144560027</v>
      </c>
      <c r="I38" s="20" t="n">
        <v>0.5</v>
      </c>
      <c r="J38" s="20" t="n">
        <v>12</v>
      </c>
    </row>
    <row r="39" ht="15" customHeight="1">
      <c r="A39" s="2" t="n">
        <v>7</v>
      </c>
      <c r="B39" s="2" t="n">
        <v>0</v>
      </c>
      <c r="C39" s="2" t="inlineStr">
        <is>
          <t>W2</t>
        </is>
      </c>
      <c r="D39" s="2" t="n">
        <v>641.4497397663461</v>
      </c>
      <c r="E39" s="2" t="n">
        <v>1122.752888084641</v>
      </c>
      <c r="F39" s="2" t="n">
        <v>325</v>
      </c>
      <c r="G39" s="20" t="n">
        <v>5</v>
      </c>
      <c r="H39" s="20" t="n">
        <v>202.3726888052932</v>
      </c>
      <c r="I39" s="20" t="n">
        <v>0.5</v>
      </c>
      <c r="J39" s="20" t="n">
        <v>12</v>
      </c>
    </row>
    <row r="40" ht="15" customHeight="1">
      <c r="A40" s="2" t="n">
        <v>7</v>
      </c>
      <c r="B40" s="2" t="n">
        <v>1</v>
      </c>
      <c r="C40" s="2" t="inlineStr">
        <is>
          <t>W1</t>
        </is>
      </c>
      <c r="D40" s="2" t="n">
        <v>200.9272327281035</v>
      </c>
      <c r="E40" s="2" t="n">
        <v>381.6494923327107</v>
      </c>
      <c r="F40" s="2" t="n">
        <v>325</v>
      </c>
      <c r="G40" s="20" t="n">
        <v>5</v>
      </c>
      <c r="H40" s="20" t="n">
        <v>97.23451445600271</v>
      </c>
      <c r="I40" s="20" t="n">
        <v>0.5</v>
      </c>
      <c r="J40" s="20" t="n">
        <v>12</v>
      </c>
    </row>
    <row r="41" ht="15" customHeight="1">
      <c r="A41" s="2" t="n">
        <v>7</v>
      </c>
      <c r="B41" s="2" t="n">
        <v>1</v>
      </c>
      <c r="C41" s="2" t="inlineStr">
        <is>
          <t>W2</t>
        </is>
      </c>
      <c r="D41" s="2" t="n">
        <v>641.4497397663461</v>
      </c>
      <c r="E41" s="2" t="n">
        <v>1122.752888084641</v>
      </c>
      <c r="F41" s="2" t="n">
        <v>325</v>
      </c>
      <c r="G41" s="20" t="n">
        <v>11</v>
      </c>
      <c r="H41" s="20" t="n">
        <v>202.3726888052932</v>
      </c>
      <c r="I41" s="20" t="n">
        <v>0.5</v>
      </c>
      <c r="J41" s="20" t="n">
        <v>12</v>
      </c>
    </row>
    <row r="42" ht="15" customHeight="1">
      <c r="A42" s="2" t="n">
        <v>7</v>
      </c>
      <c r="B42" s="2" t="n">
        <v>2</v>
      </c>
      <c r="C42" s="2" t="inlineStr">
        <is>
          <t>W1</t>
        </is>
      </c>
      <c r="D42" s="2" t="n">
        <v>200.9272327281035</v>
      </c>
      <c r="E42" s="2" t="n">
        <v>381.6494923327107</v>
      </c>
      <c r="F42" s="2" t="n">
        <v>325</v>
      </c>
      <c r="G42" s="20" t="n">
        <v>11</v>
      </c>
      <c r="H42" s="20" t="n">
        <v>152.2345144560027</v>
      </c>
      <c r="I42" s="20" t="n">
        <v>0.5</v>
      </c>
      <c r="J42" s="20" t="n">
        <v>12</v>
      </c>
    </row>
    <row r="43" ht="15" customHeight="1">
      <c r="A43" s="2" t="n">
        <v>7</v>
      </c>
      <c r="B43" s="2" t="n">
        <v>2</v>
      </c>
      <c r="C43" s="2" t="inlineStr">
        <is>
          <t>W2</t>
        </is>
      </c>
      <c r="D43" s="2" t="n">
        <v>641.4497397663461</v>
      </c>
      <c r="E43" s="2" t="n">
        <v>1122.752888084641</v>
      </c>
      <c r="F43" s="2" t="n">
        <v>325</v>
      </c>
      <c r="G43" s="20" t="n">
        <v>5</v>
      </c>
      <c r="H43" s="20" t="n">
        <v>92.37268880529322</v>
      </c>
      <c r="I43" s="20" t="n">
        <v>0.5</v>
      </c>
      <c r="J43" s="20" t="n">
        <v>12</v>
      </c>
    </row>
    <row r="44" ht="15" customHeight="1">
      <c r="A44" s="2" t="n">
        <v>8</v>
      </c>
      <c r="B44" s="2" t="n">
        <v>0</v>
      </c>
      <c r="C44" s="2" t="inlineStr">
        <is>
          <t>W1</t>
        </is>
      </c>
      <c r="D44" s="2" t="n">
        <v>420.7657325585956</v>
      </c>
      <c r="E44" s="2" t="n">
        <v>95.37356604661501</v>
      </c>
      <c r="F44" s="2" t="n">
        <v>250</v>
      </c>
      <c r="G44" s="20" t="n">
        <v>17</v>
      </c>
      <c r="H44" s="20" t="n">
        <v>47.77124256490144</v>
      </c>
      <c r="I44" s="20" t="n">
        <v>0.5</v>
      </c>
      <c r="J44" s="20" t="n">
        <v>12</v>
      </c>
    </row>
    <row r="45" ht="15" customHeight="1">
      <c r="A45" s="2" t="n">
        <v>8</v>
      </c>
      <c r="B45" s="2" t="n">
        <v>0</v>
      </c>
      <c r="C45" s="2" t="inlineStr">
        <is>
          <t>W2</t>
        </is>
      </c>
      <c r="D45" s="2" t="n">
        <v>1250.846637740001</v>
      </c>
      <c r="E45" s="2" t="n">
        <v>329.260444018202</v>
      </c>
      <c r="F45" s="2" t="n">
        <v>250</v>
      </c>
      <c r="G45" s="20" t="n">
        <v>17</v>
      </c>
      <c r="H45" s="20" t="n">
        <v>162.6397511269842</v>
      </c>
      <c r="I45" s="20" t="n">
        <v>0.5</v>
      </c>
      <c r="J45" s="20" t="n">
        <v>12</v>
      </c>
    </row>
    <row r="46" ht="15" customHeight="1">
      <c r="A46" s="2" t="n">
        <v>8</v>
      </c>
      <c r="B46" s="2" t="n">
        <v>1</v>
      </c>
      <c r="C46" s="2" t="inlineStr">
        <is>
          <t>W1</t>
        </is>
      </c>
      <c r="D46" s="2" t="n">
        <v>420.7657325585956</v>
      </c>
      <c r="E46" s="2" t="n">
        <v>95.37356604661501</v>
      </c>
      <c r="F46" s="2" t="n">
        <v>250</v>
      </c>
      <c r="G46" s="20" t="n">
        <v>8</v>
      </c>
      <c r="H46" s="20" t="n">
        <v>157.7712425649015</v>
      </c>
      <c r="I46" s="20" t="n">
        <v>0.5</v>
      </c>
      <c r="J46" s="20" t="n">
        <v>12</v>
      </c>
    </row>
    <row r="47" ht="15" customHeight="1">
      <c r="A47" s="2" t="n">
        <v>8</v>
      </c>
      <c r="B47" s="2" t="n">
        <v>1</v>
      </c>
      <c r="C47" s="2" t="inlineStr">
        <is>
          <t>W2</t>
        </is>
      </c>
      <c r="D47" s="2" t="n">
        <v>1250.846637740001</v>
      </c>
      <c r="E47" s="2" t="n">
        <v>329.260444018202</v>
      </c>
      <c r="F47" s="2" t="n">
        <v>250</v>
      </c>
      <c r="G47" s="20" t="n">
        <v>8</v>
      </c>
      <c r="H47" s="20" t="n">
        <v>162.6397511269842</v>
      </c>
      <c r="I47" s="20" t="n">
        <v>0.5</v>
      </c>
      <c r="J47" s="20" t="n">
        <v>12</v>
      </c>
    </row>
    <row r="48" ht="15" customHeight="1">
      <c r="A48" s="2" t="n">
        <v>8</v>
      </c>
      <c r="B48" s="2" t="n">
        <v>2</v>
      </c>
      <c r="C48" s="2" t="inlineStr">
        <is>
          <t>W1</t>
        </is>
      </c>
      <c r="D48" s="2" t="n">
        <v>420.7657325585956</v>
      </c>
      <c r="E48" s="2" t="n">
        <v>95.37356604661501</v>
      </c>
      <c r="F48" s="2" t="n">
        <v>250</v>
      </c>
      <c r="G48" s="20" t="n">
        <v>20</v>
      </c>
      <c r="H48" s="20" t="n">
        <v>102.7712425649014</v>
      </c>
      <c r="I48" s="20" t="n">
        <v>0.5</v>
      </c>
      <c r="J48" s="20" t="n">
        <v>12</v>
      </c>
    </row>
    <row r="49" ht="15" customHeight="1">
      <c r="A49" s="2" t="n">
        <v>8</v>
      </c>
      <c r="B49" s="2" t="n">
        <v>2</v>
      </c>
      <c r="C49" s="2" t="inlineStr">
        <is>
          <t>W2</t>
        </is>
      </c>
      <c r="D49" s="2" t="n">
        <v>1250.846637740001</v>
      </c>
      <c r="E49" s="2" t="n">
        <v>329.260444018202</v>
      </c>
      <c r="F49" s="2" t="n">
        <v>250</v>
      </c>
      <c r="G49" s="20" t="n">
        <v>14</v>
      </c>
      <c r="H49" s="20" t="n">
        <v>107.6397511269842</v>
      </c>
      <c r="I49" s="20" t="n">
        <v>0.5</v>
      </c>
      <c r="J49" s="20" t="n">
        <v>12</v>
      </c>
    </row>
    <row r="50" ht="15" customHeight="1">
      <c r="A50" s="2" t="n">
        <v>9</v>
      </c>
      <c r="B50" s="2" t="n">
        <v>0</v>
      </c>
      <c r="C50" s="2" t="inlineStr">
        <is>
          <t>W1</t>
        </is>
      </c>
      <c r="D50" s="2" t="n">
        <v>-16.83610109257748</v>
      </c>
      <c r="E50" s="2" t="n">
        <v>431.0041879699835</v>
      </c>
      <c r="F50" s="2" t="n">
        <v>300</v>
      </c>
      <c r="G50" s="20" t="n">
        <v>20</v>
      </c>
      <c r="H50" s="20" t="n">
        <v>237.2369790634377</v>
      </c>
      <c r="I50" s="20" t="n">
        <v>1</v>
      </c>
      <c r="J50" s="20" t="n">
        <v>35</v>
      </c>
    </row>
    <row r="51" ht="15" customHeight="1">
      <c r="A51" s="2" t="n">
        <v>9</v>
      </c>
      <c r="B51" s="2" t="n">
        <v>0</v>
      </c>
      <c r="C51" s="2" t="inlineStr">
        <is>
          <t>W2</t>
        </is>
      </c>
      <c r="D51" s="2" t="n">
        <v>-5.831148355401432</v>
      </c>
      <c r="E51" s="2" t="n">
        <v>1293.123231187187</v>
      </c>
      <c r="F51" s="2" t="n">
        <v>300</v>
      </c>
      <c r="G51" s="20" t="n">
        <v>8</v>
      </c>
      <c r="H51" s="20" t="n">
        <v>122.3648154175486</v>
      </c>
      <c r="I51" s="20" t="n">
        <v>1</v>
      </c>
      <c r="J51" s="20" t="n">
        <v>35</v>
      </c>
    </row>
    <row r="52" ht="15" customHeight="1">
      <c r="A52" s="2" t="n">
        <v>9</v>
      </c>
      <c r="B52" s="2" t="n">
        <v>1</v>
      </c>
      <c r="C52" s="2" t="inlineStr">
        <is>
          <t>W1</t>
        </is>
      </c>
      <c r="D52" s="2" t="n">
        <v>-16.83610109257748</v>
      </c>
      <c r="E52" s="2" t="n">
        <v>431.0041879699835</v>
      </c>
      <c r="F52" s="2" t="n">
        <v>300</v>
      </c>
      <c r="G52" s="20" t="n">
        <v>5</v>
      </c>
      <c r="H52" s="20" t="n">
        <v>237.2369790634377</v>
      </c>
      <c r="I52" s="20" t="n">
        <v>1</v>
      </c>
      <c r="J52" s="20" t="n">
        <v>35</v>
      </c>
    </row>
    <row r="53" ht="15" customHeight="1">
      <c r="A53" s="2" t="n">
        <v>9</v>
      </c>
      <c r="B53" s="2" t="n">
        <v>1</v>
      </c>
      <c r="C53" s="2" t="inlineStr">
        <is>
          <t>W2</t>
        </is>
      </c>
      <c r="D53" s="2" t="n">
        <v>-5.831148355401432</v>
      </c>
      <c r="E53" s="2" t="n">
        <v>1293.123231187187</v>
      </c>
      <c r="F53" s="2" t="n">
        <v>300</v>
      </c>
      <c r="G53" s="20" t="n">
        <v>20</v>
      </c>
      <c r="H53" s="20" t="n">
        <v>122.3648154175486</v>
      </c>
      <c r="I53" s="20" t="n">
        <v>1</v>
      </c>
      <c r="J53" s="20" t="n">
        <v>35</v>
      </c>
    </row>
    <row r="54" ht="15" customHeight="1">
      <c r="A54" s="2" t="n">
        <v>9</v>
      </c>
      <c r="B54" s="2" t="n">
        <v>2</v>
      </c>
      <c r="C54" s="2" t="inlineStr">
        <is>
          <t>W1</t>
        </is>
      </c>
      <c r="D54" s="2" t="n">
        <v>-16.83610109257748</v>
      </c>
      <c r="E54" s="2" t="n">
        <v>431.0041879699835</v>
      </c>
      <c r="F54" s="2" t="n">
        <v>300</v>
      </c>
      <c r="G54" s="20" t="n">
        <v>2</v>
      </c>
      <c r="H54" s="20" t="n">
        <v>182.2369790634377</v>
      </c>
      <c r="I54" s="20" t="n">
        <v>1</v>
      </c>
      <c r="J54" s="20" t="n">
        <v>35</v>
      </c>
    </row>
    <row r="55" ht="15" customHeight="1">
      <c r="A55" s="2" t="n">
        <v>9</v>
      </c>
      <c r="B55" s="2" t="n">
        <v>2</v>
      </c>
      <c r="C55" s="2" t="inlineStr">
        <is>
          <t>W2</t>
        </is>
      </c>
      <c r="D55" s="2" t="n">
        <v>-5.831148355401432</v>
      </c>
      <c r="E55" s="2" t="n">
        <v>1293.123231187187</v>
      </c>
      <c r="F55" s="2" t="n">
        <v>300</v>
      </c>
      <c r="G55" s="20" t="n">
        <v>20</v>
      </c>
      <c r="H55" s="20" t="n">
        <v>232.3648154175486</v>
      </c>
      <c r="I55" s="20" t="n">
        <v>1</v>
      </c>
      <c r="J55" s="20" t="n">
        <v>35</v>
      </c>
    </row>
    <row r="56" ht="15" customHeight="1">
      <c r="A56" s="2" t="n">
        <v>10</v>
      </c>
      <c r="B56" s="2" t="n">
        <v>0</v>
      </c>
      <c r="C56" s="2" t="inlineStr">
        <is>
          <t>W1</t>
        </is>
      </c>
      <c r="D56" s="2" t="n">
        <v>316.5409071905244</v>
      </c>
      <c r="E56" s="2" t="n">
        <v>292.9687119742088</v>
      </c>
      <c r="F56" s="2" t="n">
        <v>275</v>
      </c>
      <c r="G56" s="20" t="n">
        <v>14</v>
      </c>
      <c r="H56" s="20" t="n">
        <v>132.7852448726808</v>
      </c>
      <c r="I56" s="20" t="n">
        <v>1</v>
      </c>
      <c r="J56" s="20" t="n">
        <v>35</v>
      </c>
    </row>
    <row r="57" ht="15" customHeight="1">
      <c r="A57" s="2" t="n">
        <v>10</v>
      </c>
      <c r="B57" s="2" t="n">
        <v>0</v>
      </c>
      <c r="C57" s="2" t="inlineStr">
        <is>
          <t>W2</t>
        </is>
      </c>
      <c r="D57" s="2" t="n">
        <v>918.3087523471759</v>
      </c>
      <c r="E57" s="2" t="n">
        <v>910.3663378441137</v>
      </c>
      <c r="F57" s="2" t="n">
        <v>275</v>
      </c>
      <c r="G57" s="20" t="n">
        <v>2</v>
      </c>
      <c r="H57" s="20" t="n">
        <v>192.6256296827725</v>
      </c>
      <c r="I57" s="20" t="n">
        <v>1</v>
      </c>
      <c r="J57" s="20" t="n">
        <v>35</v>
      </c>
    </row>
    <row r="58" ht="15" customHeight="1">
      <c r="A58" s="2" t="n">
        <v>10</v>
      </c>
      <c r="B58" s="2" t="n">
        <v>1</v>
      </c>
      <c r="C58" s="2" t="inlineStr">
        <is>
          <t>W1</t>
        </is>
      </c>
      <c r="D58" s="2" t="n">
        <v>316.5409071905244</v>
      </c>
      <c r="E58" s="2" t="n">
        <v>292.9687119742088</v>
      </c>
      <c r="F58" s="2" t="n">
        <v>275</v>
      </c>
      <c r="G58" s="20" t="n">
        <v>11</v>
      </c>
      <c r="H58" s="20" t="n">
        <v>187.7852448726808</v>
      </c>
      <c r="I58" s="20" t="n">
        <v>1</v>
      </c>
      <c r="J58" s="20" t="n">
        <v>35</v>
      </c>
    </row>
    <row r="59" ht="15" customHeight="1">
      <c r="A59" s="2" t="n">
        <v>10</v>
      </c>
      <c r="B59" s="2" t="n">
        <v>1</v>
      </c>
      <c r="C59" s="2" t="inlineStr">
        <is>
          <t>W2</t>
        </is>
      </c>
      <c r="D59" s="2" t="n">
        <v>918.3087523471759</v>
      </c>
      <c r="E59" s="2" t="n">
        <v>910.3663378441137</v>
      </c>
      <c r="F59" s="2" t="n">
        <v>275</v>
      </c>
      <c r="G59" s="20" t="n">
        <v>14</v>
      </c>
      <c r="H59" s="20" t="n">
        <v>192.6256296827725</v>
      </c>
      <c r="I59" s="20" t="n">
        <v>1</v>
      </c>
      <c r="J59" s="20" t="n">
        <v>35</v>
      </c>
    </row>
    <row r="60" ht="15" customHeight="1">
      <c r="A60" s="2" t="n">
        <v>10</v>
      </c>
      <c r="B60" s="2" t="n">
        <v>2</v>
      </c>
      <c r="C60" s="2" t="inlineStr">
        <is>
          <t>W1</t>
        </is>
      </c>
      <c r="D60" s="2" t="n">
        <v>316.5409071905244</v>
      </c>
      <c r="E60" s="2" t="n">
        <v>292.9687119742088</v>
      </c>
      <c r="F60" s="2" t="n">
        <v>275</v>
      </c>
      <c r="G60" s="20" t="n">
        <v>17</v>
      </c>
      <c r="H60" s="20" t="n">
        <v>132.7852448726808</v>
      </c>
      <c r="I60" s="20" t="n">
        <v>1</v>
      </c>
      <c r="J60" s="20" t="n">
        <v>35</v>
      </c>
    </row>
    <row r="61" ht="15" customHeight="1">
      <c r="A61" s="2" t="n">
        <v>10</v>
      </c>
      <c r="B61" s="2" t="n">
        <v>2</v>
      </c>
      <c r="C61" s="2" t="inlineStr">
        <is>
          <t>W2</t>
        </is>
      </c>
      <c r="D61" s="2" t="n">
        <v>918.3087523471759</v>
      </c>
      <c r="E61" s="2" t="n">
        <v>910.3663378441137</v>
      </c>
      <c r="F61" s="2" t="n">
        <v>275</v>
      </c>
      <c r="G61" s="20" t="n">
        <v>5</v>
      </c>
      <c r="H61" s="20" t="n">
        <v>82.62562968277254</v>
      </c>
      <c r="I61" s="20" t="n">
        <v>1</v>
      </c>
      <c r="J61" s="20" t="n">
        <v>35</v>
      </c>
    </row>
    <row r="62" ht="15" customHeight="1">
      <c r="A62" s="2" t="n">
        <v>11</v>
      </c>
      <c r="B62" s="2" t="n">
        <v>0</v>
      </c>
      <c r="C62" s="2" t="inlineStr">
        <is>
          <t>W1</t>
        </is>
      </c>
      <c r="D62" s="2" t="n">
        <v>364.828519109174</v>
      </c>
      <c r="E62" s="2" t="n">
        <v>230.1226043611713</v>
      </c>
      <c r="F62" s="2" t="n">
        <v>350</v>
      </c>
      <c r="G62" s="20" t="n">
        <v>14</v>
      </c>
      <c r="H62" s="20" t="n">
        <v>67.24246783912332</v>
      </c>
      <c r="I62" s="20" t="n">
        <v>1.5</v>
      </c>
      <c r="J62" s="20" t="n">
        <v>60</v>
      </c>
    </row>
    <row r="63" ht="15" customHeight="1">
      <c r="A63" s="2" t="n">
        <v>11</v>
      </c>
      <c r="B63" s="2" t="n">
        <v>0</v>
      </c>
      <c r="C63" s="2" t="inlineStr">
        <is>
          <t>W2</t>
        </is>
      </c>
      <c r="D63" s="2" t="n">
        <v>1116.937508419657</v>
      </c>
      <c r="E63" s="2" t="n">
        <v>651.7088278878227</v>
      </c>
      <c r="F63" s="2" t="n">
        <v>350</v>
      </c>
      <c r="G63" s="20" t="n">
        <v>11</v>
      </c>
      <c r="H63" s="20" t="n">
        <v>172.3682104288882</v>
      </c>
      <c r="I63" s="20" t="n">
        <v>1.5</v>
      </c>
      <c r="J63" s="20" t="n">
        <v>60</v>
      </c>
    </row>
    <row r="64" ht="15" customHeight="1">
      <c r="A64" s="2" t="n">
        <v>11</v>
      </c>
      <c r="B64" s="2" t="n">
        <v>1</v>
      </c>
      <c r="C64" s="2" t="inlineStr">
        <is>
          <t>W1</t>
        </is>
      </c>
      <c r="D64" s="2" t="n">
        <v>364.828519109174</v>
      </c>
      <c r="E64" s="2" t="n">
        <v>230.1226043611713</v>
      </c>
      <c r="F64" s="2" t="n">
        <v>350</v>
      </c>
      <c r="G64" s="20" t="n">
        <v>5</v>
      </c>
      <c r="H64" s="20" t="n">
        <v>177.2424678391233</v>
      </c>
      <c r="I64" s="20" t="n">
        <v>1.5</v>
      </c>
      <c r="J64" s="20" t="n">
        <v>60</v>
      </c>
    </row>
    <row r="65" ht="15" customHeight="1">
      <c r="A65" s="2" t="n">
        <v>11</v>
      </c>
      <c r="B65" s="2" t="n">
        <v>1</v>
      </c>
      <c r="C65" s="2" t="inlineStr">
        <is>
          <t>W2</t>
        </is>
      </c>
      <c r="D65" s="2" t="n">
        <v>1116.937508419657</v>
      </c>
      <c r="E65" s="2" t="n">
        <v>651.7088278878227</v>
      </c>
      <c r="F65" s="2" t="n">
        <v>350</v>
      </c>
      <c r="G65" s="20" t="n">
        <v>11</v>
      </c>
      <c r="H65" s="20" t="n">
        <v>172.3682104288882</v>
      </c>
      <c r="I65" s="20" t="n">
        <v>1.5</v>
      </c>
      <c r="J65" s="20" t="n">
        <v>60</v>
      </c>
    </row>
    <row r="66" ht="15" customHeight="1">
      <c r="A66" s="2" t="n">
        <v>11</v>
      </c>
      <c r="B66" s="2" t="n">
        <v>2</v>
      </c>
      <c r="C66" s="2" t="inlineStr">
        <is>
          <t>W1</t>
        </is>
      </c>
      <c r="D66" s="2" t="n">
        <v>364.828519109174</v>
      </c>
      <c r="E66" s="2" t="n">
        <v>230.1226043611713</v>
      </c>
      <c r="F66" s="2" t="n">
        <v>350</v>
      </c>
      <c r="G66" s="20" t="n">
        <v>2</v>
      </c>
      <c r="H66" s="20" t="n">
        <v>67.24246783912332</v>
      </c>
      <c r="I66" s="20" t="n">
        <v>1.5</v>
      </c>
      <c r="J66" s="20" t="n">
        <v>60</v>
      </c>
    </row>
    <row r="67" ht="15" customHeight="1">
      <c r="A67" s="2" t="n">
        <v>11</v>
      </c>
      <c r="B67" s="2" t="n">
        <v>2</v>
      </c>
      <c r="C67" s="2" t="inlineStr">
        <is>
          <t>W2</t>
        </is>
      </c>
      <c r="D67" s="2" t="n">
        <v>1116.937508419657</v>
      </c>
      <c r="E67" s="2" t="n">
        <v>651.7088278878227</v>
      </c>
      <c r="F67" s="2" t="n">
        <v>350</v>
      </c>
      <c r="G67" s="20" t="n">
        <v>20</v>
      </c>
      <c r="H67" s="20" t="n">
        <v>117.3682104288882</v>
      </c>
      <c r="I67" s="20" t="n">
        <v>1.5</v>
      </c>
      <c r="J67" s="20" t="n">
        <v>60</v>
      </c>
    </row>
    <row r="68" ht="15" customHeight="1">
      <c r="A68" s="2" t="n">
        <v>12</v>
      </c>
      <c r="B68" s="2" t="n">
        <v>0</v>
      </c>
      <c r="C68" s="2" t="inlineStr">
        <is>
          <t>W1</t>
        </is>
      </c>
      <c r="D68" s="2" t="n">
        <v>411.9668193298857</v>
      </c>
      <c r="E68" s="2" t="n">
        <v>-127.9678948327165</v>
      </c>
      <c r="F68" s="2" t="n">
        <v>250</v>
      </c>
      <c r="G68" s="20" t="n">
        <v>8</v>
      </c>
      <c r="H68" s="20" t="n">
        <v>127.7438103469892</v>
      </c>
      <c r="I68" s="20" t="n">
        <v>1.5</v>
      </c>
      <c r="J68" s="20" t="n">
        <v>60</v>
      </c>
    </row>
    <row r="69" ht="15" customHeight="1">
      <c r="A69" s="2" t="n">
        <v>12</v>
      </c>
      <c r="B69" s="2" t="n">
        <v>0</v>
      </c>
      <c r="C69" s="2" t="inlineStr">
        <is>
          <t>W2</t>
        </is>
      </c>
      <c r="D69" s="2" t="n">
        <v>1247.62478713668</v>
      </c>
      <c r="E69" s="2" t="n">
        <v>-340.6129212438709</v>
      </c>
      <c r="F69" s="2" t="n">
        <v>250</v>
      </c>
      <c r="G69" s="20" t="n">
        <v>20</v>
      </c>
      <c r="H69" s="20" t="n">
        <v>22.63350284678518</v>
      </c>
      <c r="I69" s="20" t="n">
        <v>1.5</v>
      </c>
      <c r="J69" s="20" t="n">
        <v>60</v>
      </c>
    </row>
    <row r="70" ht="15" customHeight="1">
      <c r="A70" s="2" t="n">
        <v>12</v>
      </c>
      <c r="B70" s="2" t="n">
        <v>1</v>
      </c>
      <c r="C70" s="2" t="inlineStr">
        <is>
          <t>W1</t>
        </is>
      </c>
      <c r="D70" s="2" t="n">
        <v>411.9668193298857</v>
      </c>
      <c r="E70" s="2" t="n">
        <v>-127.9678948327165</v>
      </c>
      <c r="F70" s="2" t="n">
        <v>250</v>
      </c>
      <c r="G70" s="20" t="n">
        <v>8</v>
      </c>
      <c r="H70" s="20" t="n">
        <v>127.7438103469892</v>
      </c>
      <c r="I70" s="20" t="n">
        <v>1.5</v>
      </c>
      <c r="J70" s="20" t="n">
        <v>60</v>
      </c>
    </row>
    <row r="71" ht="15" customHeight="1">
      <c r="A71" s="2" t="n">
        <v>12</v>
      </c>
      <c r="B71" s="2" t="n">
        <v>1</v>
      </c>
      <c r="C71" s="2" t="inlineStr">
        <is>
          <t>W2</t>
        </is>
      </c>
      <c r="D71" s="2" t="n">
        <v>1247.62478713668</v>
      </c>
      <c r="E71" s="2" t="n">
        <v>-340.6129212438709</v>
      </c>
      <c r="F71" s="2" t="n">
        <v>250</v>
      </c>
      <c r="G71" s="20" t="n">
        <v>20</v>
      </c>
      <c r="H71" s="20" t="n">
        <v>22.63350284678518</v>
      </c>
      <c r="I71" s="20" t="n">
        <v>1.5</v>
      </c>
      <c r="J71" s="20" t="n">
        <v>60</v>
      </c>
    </row>
    <row r="72" ht="15" customHeight="1">
      <c r="A72" s="2" t="n">
        <v>12</v>
      </c>
      <c r="B72" s="2" t="n">
        <v>2</v>
      </c>
      <c r="C72" s="2" t="inlineStr">
        <is>
          <t>W1</t>
        </is>
      </c>
      <c r="D72" s="2" t="n">
        <v>411.9668193298857</v>
      </c>
      <c r="E72" s="2" t="n">
        <v>-127.9678948327165</v>
      </c>
      <c r="F72" s="2" t="n">
        <v>250</v>
      </c>
      <c r="G72" s="20" t="n">
        <v>17</v>
      </c>
      <c r="H72" s="20" t="n">
        <v>72.74381034698922</v>
      </c>
      <c r="I72" s="20" t="n">
        <v>1.5</v>
      </c>
      <c r="J72" s="20" t="n">
        <v>60</v>
      </c>
    </row>
    <row r="73" ht="15" customHeight="1">
      <c r="A73" s="2" t="n">
        <v>12</v>
      </c>
      <c r="B73" s="2" t="n">
        <v>2</v>
      </c>
      <c r="C73" s="2" t="inlineStr">
        <is>
          <t>W2</t>
        </is>
      </c>
      <c r="D73" s="2" t="n">
        <v>1247.62478713668</v>
      </c>
      <c r="E73" s="2" t="n">
        <v>-340.6129212438709</v>
      </c>
      <c r="F73" s="2" t="n">
        <v>250</v>
      </c>
      <c r="G73" s="20" t="n">
        <v>14</v>
      </c>
      <c r="H73" s="20" t="n">
        <v>77.63350284678518</v>
      </c>
      <c r="I73" s="20" t="n">
        <v>1.5</v>
      </c>
      <c r="J73" s="20" t="n">
        <v>60</v>
      </c>
    </row>
    <row r="74" ht="15" customHeight="1">
      <c r="A74" s="2" t="n">
        <v>13</v>
      </c>
      <c r="B74" s="2" t="n">
        <v>0</v>
      </c>
      <c r="C74" s="2" t="inlineStr">
        <is>
          <t>W1</t>
        </is>
      </c>
      <c r="D74" s="2" t="n">
        <v>-16.83610109257748</v>
      </c>
      <c r="E74" s="2" t="n">
        <v>431.0041879699835</v>
      </c>
      <c r="F74" s="2" t="n">
        <v>250</v>
      </c>
      <c r="G74" s="20" t="n">
        <v>14</v>
      </c>
      <c r="H74" s="20" t="n">
        <v>237.2369790634377</v>
      </c>
      <c r="I74" s="20" t="n">
        <v>0.5</v>
      </c>
      <c r="J74" s="20" t="n">
        <v>12</v>
      </c>
    </row>
    <row r="75" ht="15" customHeight="1">
      <c r="A75" s="2" t="n">
        <v>13</v>
      </c>
      <c r="B75" s="2" t="n">
        <v>0</v>
      </c>
      <c r="C75" s="2" t="inlineStr">
        <is>
          <t>W2</t>
        </is>
      </c>
      <c r="D75" s="2" t="n">
        <v>-5.831148355401432</v>
      </c>
      <c r="E75" s="2" t="n">
        <v>1293.123231187187</v>
      </c>
      <c r="F75" s="2" t="n">
        <v>250</v>
      </c>
      <c r="G75" s="20" t="n">
        <v>14</v>
      </c>
      <c r="H75" s="20" t="n">
        <v>232.3648154175486</v>
      </c>
      <c r="I75" s="20" t="n">
        <v>0.5</v>
      </c>
      <c r="J75" s="20" t="n">
        <v>12</v>
      </c>
    </row>
    <row r="76" ht="15" customHeight="1">
      <c r="A76" s="2" t="n">
        <v>13</v>
      </c>
      <c r="B76" s="2" t="n">
        <v>1</v>
      </c>
      <c r="C76" s="2" t="inlineStr">
        <is>
          <t>W1</t>
        </is>
      </c>
      <c r="D76" s="2" t="n">
        <v>-16.83610109257748</v>
      </c>
      <c r="E76" s="2" t="n">
        <v>431.0041879699835</v>
      </c>
      <c r="F76" s="2" t="n">
        <v>250</v>
      </c>
      <c r="G76" s="20" t="n">
        <v>14</v>
      </c>
      <c r="H76" s="20" t="n">
        <v>237.2369790634377</v>
      </c>
      <c r="I76" s="20" t="n">
        <v>0.5</v>
      </c>
      <c r="J76" s="20" t="n">
        <v>12</v>
      </c>
    </row>
    <row r="77" ht="15" customHeight="1">
      <c r="A77" s="2" t="n">
        <v>13</v>
      </c>
      <c r="B77" s="2" t="n">
        <v>1</v>
      </c>
      <c r="C77" s="2" t="inlineStr">
        <is>
          <t>W2</t>
        </is>
      </c>
      <c r="D77" s="2" t="n">
        <v>-5.831148355401432</v>
      </c>
      <c r="E77" s="2" t="n">
        <v>1293.123231187187</v>
      </c>
      <c r="F77" s="2" t="n">
        <v>250</v>
      </c>
      <c r="G77" s="20" t="n">
        <v>2</v>
      </c>
      <c r="H77" s="20" t="n">
        <v>232.3648154175486</v>
      </c>
      <c r="I77" s="20" t="n">
        <v>0.5</v>
      </c>
      <c r="J77" s="20" t="n">
        <v>12</v>
      </c>
    </row>
    <row r="78" ht="15" customHeight="1">
      <c r="A78" s="2" t="n">
        <v>13</v>
      </c>
      <c r="B78" s="2" t="n">
        <v>2</v>
      </c>
      <c r="C78" s="2" t="inlineStr">
        <is>
          <t>W1</t>
        </is>
      </c>
      <c r="D78" s="2" t="n">
        <v>-16.83610109257748</v>
      </c>
      <c r="E78" s="2" t="n">
        <v>431.0041879699835</v>
      </c>
      <c r="F78" s="2" t="n">
        <v>250</v>
      </c>
      <c r="G78" s="20" t="n">
        <v>20</v>
      </c>
      <c r="H78" s="20" t="n">
        <v>182.2369790634377</v>
      </c>
      <c r="I78" s="20" t="n">
        <v>0.5</v>
      </c>
      <c r="J78" s="20" t="n">
        <v>12</v>
      </c>
    </row>
    <row r="79" ht="15" customHeight="1">
      <c r="A79" s="2" t="n">
        <v>13</v>
      </c>
      <c r="B79" s="2" t="n">
        <v>2</v>
      </c>
      <c r="C79" s="2" t="inlineStr">
        <is>
          <t>W2</t>
        </is>
      </c>
      <c r="D79" s="2" t="n">
        <v>-5.831148355401432</v>
      </c>
      <c r="E79" s="2" t="n">
        <v>1293.123231187187</v>
      </c>
      <c r="F79" s="2" t="n">
        <v>250</v>
      </c>
      <c r="G79" s="20" t="n">
        <v>2</v>
      </c>
      <c r="H79" s="20" t="n">
        <v>122.3648154175486</v>
      </c>
      <c r="I79" s="20" t="n">
        <v>0.5</v>
      </c>
      <c r="J79" s="20" t="n">
        <v>12</v>
      </c>
    </row>
    <row r="80" ht="15" customHeight="1">
      <c r="A80" s="2" t="n">
        <v>14</v>
      </c>
      <c r="B80" s="2" t="n">
        <v>0</v>
      </c>
      <c r="C80" s="2" t="inlineStr">
        <is>
          <t>W1</t>
        </is>
      </c>
      <c r="D80" s="2" t="n">
        <v>316.5409071905244</v>
      </c>
      <c r="E80" s="2" t="n">
        <v>292.9687119742088</v>
      </c>
      <c r="F80" s="2" t="n">
        <v>225</v>
      </c>
      <c r="G80" s="20" t="n">
        <v>11</v>
      </c>
      <c r="H80" s="20" t="n">
        <v>132.7852448726808</v>
      </c>
      <c r="I80" s="20" t="n">
        <v>0.5</v>
      </c>
      <c r="J80" s="20" t="n">
        <v>12</v>
      </c>
    </row>
    <row r="81" ht="15" customHeight="1">
      <c r="A81" s="2" t="n">
        <v>14</v>
      </c>
      <c r="B81" s="2" t="n">
        <v>0</v>
      </c>
      <c r="C81" s="2" t="inlineStr">
        <is>
          <t>W2</t>
        </is>
      </c>
      <c r="D81" s="2" t="n">
        <v>918.3087523471759</v>
      </c>
      <c r="E81" s="2" t="n">
        <v>910.3663378441137</v>
      </c>
      <c r="F81" s="2" t="n">
        <v>225</v>
      </c>
      <c r="G81" s="20" t="n">
        <v>14</v>
      </c>
      <c r="H81" s="20" t="n">
        <v>192.6256296827725</v>
      </c>
      <c r="I81" s="20" t="n">
        <v>0.5</v>
      </c>
      <c r="J81" s="20" t="n">
        <v>12</v>
      </c>
    </row>
    <row r="82" ht="15" customHeight="1">
      <c r="A82" s="2" t="n">
        <v>14</v>
      </c>
      <c r="B82" s="2" t="n">
        <v>1</v>
      </c>
      <c r="C82" s="2" t="inlineStr">
        <is>
          <t>W1</t>
        </is>
      </c>
      <c r="D82" s="2" t="n">
        <v>316.5409071905244</v>
      </c>
      <c r="E82" s="2" t="n">
        <v>292.9687119742088</v>
      </c>
      <c r="F82" s="2" t="n">
        <v>225</v>
      </c>
      <c r="G82" s="20" t="n">
        <v>8</v>
      </c>
      <c r="H82" s="20" t="n">
        <v>187.7852448726808</v>
      </c>
      <c r="I82" s="20" t="n">
        <v>0.5</v>
      </c>
      <c r="J82" s="20" t="n">
        <v>12</v>
      </c>
    </row>
    <row r="83" ht="15" customHeight="1">
      <c r="A83" s="2" t="n">
        <v>14</v>
      </c>
      <c r="B83" s="2" t="n">
        <v>1</v>
      </c>
      <c r="C83" s="2" t="inlineStr">
        <is>
          <t>W2</t>
        </is>
      </c>
      <c r="D83" s="2" t="n">
        <v>918.3087523471759</v>
      </c>
      <c r="E83" s="2" t="n">
        <v>910.3663378441137</v>
      </c>
      <c r="F83" s="2" t="n">
        <v>225</v>
      </c>
      <c r="G83" s="20" t="n">
        <v>2</v>
      </c>
      <c r="H83" s="20" t="n">
        <v>82.62562968277254</v>
      </c>
      <c r="I83" s="20" t="n">
        <v>0.5</v>
      </c>
      <c r="J83" s="20" t="n">
        <v>12</v>
      </c>
    </row>
    <row r="84" ht="15" customHeight="1">
      <c r="A84" s="2" t="n">
        <v>14</v>
      </c>
      <c r="B84" s="2" t="n">
        <v>2</v>
      </c>
      <c r="C84" s="2" t="inlineStr">
        <is>
          <t>W1</t>
        </is>
      </c>
      <c r="D84" s="2" t="n">
        <v>316.5409071905244</v>
      </c>
      <c r="E84" s="2" t="n">
        <v>292.9687119742088</v>
      </c>
      <c r="F84" s="2" t="n">
        <v>225</v>
      </c>
      <c r="G84" s="20" t="n">
        <v>2</v>
      </c>
      <c r="H84" s="20" t="n">
        <v>77.78524487268078</v>
      </c>
      <c r="I84" s="20" t="n">
        <v>0.5</v>
      </c>
      <c r="J84" s="20" t="n">
        <v>12</v>
      </c>
    </row>
    <row r="85" ht="15" customHeight="1">
      <c r="A85" s="2" t="n">
        <v>14</v>
      </c>
      <c r="B85" s="2" t="n">
        <v>2</v>
      </c>
      <c r="C85" s="2" t="inlineStr">
        <is>
          <t>W2</t>
        </is>
      </c>
      <c r="D85" s="2" t="n">
        <v>918.3087523471759</v>
      </c>
      <c r="E85" s="2" t="n">
        <v>910.3663378441137</v>
      </c>
      <c r="F85" s="2" t="n">
        <v>225</v>
      </c>
      <c r="G85" s="20" t="n">
        <v>20</v>
      </c>
      <c r="H85" s="20" t="n">
        <v>82.62562968277254</v>
      </c>
      <c r="I85" s="20" t="n">
        <v>0.5</v>
      </c>
      <c r="J85" s="20" t="n">
        <v>12</v>
      </c>
    </row>
    <row r="86" ht="15" customHeight="1">
      <c r="A86" s="2" t="n">
        <v>15</v>
      </c>
      <c r="B86" s="2" t="n">
        <v>0</v>
      </c>
      <c r="C86" s="2" t="inlineStr">
        <is>
          <t>W1</t>
        </is>
      </c>
      <c r="D86" s="2" t="n">
        <v>364.828519109174</v>
      </c>
      <c r="E86" s="2" t="n">
        <v>230.1226043611713</v>
      </c>
      <c r="F86" s="2" t="n">
        <v>225</v>
      </c>
      <c r="G86" s="20" t="n">
        <v>17</v>
      </c>
      <c r="H86" s="20" t="n">
        <v>67.24246783912332</v>
      </c>
      <c r="I86" s="20" t="n">
        <v>1</v>
      </c>
      <c r="J86" s="20" t="n">
        <v>35</v>
      </c>
    </row>
    <row r="87" ht="15" customHeight="1">
      <c r="A87" s="2" t="n">
        <v>15</v>
      </c>
      <c r="B87" s="2" t="n">
        <v>0</v>
      </c>
      <c r="C87" s="2" t="inlineStr">
        <is>
          <t>W2</t>
        </is>
      </c>
      <c r="D87" s="2" t="n">
        <v>1116.937508419657</v>
      </c>
      <c r="E87" s="2" t="n">
        <v>651.7088278878227</v>
      </c>
      <c r="F87" s="2" t="n">
        <v>225</v>
      </c>
      <c r="G87" s="20" t="n">
        <v>2</v>
      </c>
      <c r="H87" s="20" t="n">
        <v>172.3682104288882</v>
      </c>
      <c r="I87" s="20" t="n">
        <v>1</v>
      </c>
      <c r="J87" s="20" t="n">
        <v>35</v>
      </c>
    </row>
    <row r="88" ht="15" customHeight="1">
      <c r="A88" s="2" t="n">
        <v>15</v>
      </c>
      <c r="B88" s="2" t="n">
        <v>1</v>
      </c>
      <c r="C88" s="2" t="inlineStr">
        <is>
          <t>W1</t>
        </is>
      </c>
      <c r="D88" s="2" t="n">
        <v>364.828519109174</v>
      </c>
      <c r="E88" s="2" t="n">
        <v>230.1226043611713</v>
      </c>
      <c r="F88" s="2" t="n">
        <v>225</v>
      </c>
      <c r="G88" s="20" t="n">
        <v>14</v>
      </c>
      <c r="H88" s="20" t="n">
        <v>67.24246783912332</v>
      </c>
      <c r="I88" s="20" t="n">
        <v>1</v>
      </c>
      <c r="J88" s="20" t="n">
        <v>35</v>
      </c>
    </row>
    <row r="89" ht="15" customHeight="1">
      <c r="A89" s="2" t="n">
        <v>15</v>
      </c>
      <c r="B89" s="2" t="n">
        <v>1</v>
      </c>
      <c r="C89" s="2" t="inlineStr">
        <is>
          <t>W2</t>
        </is>
      </c>
      <c r="D89" s="2" t="n">
        <v>1116.937508419657</v>
      </c>
      <c r="E89" s="2" t="n">
        <v>651.7088278878227</v>
      </c>
      <c r="F89" s="2" t="n">
        <v>225</v>
      </c>
      <c r="G89" s="20" t="n">
        <v>8</v>
      </c>
      <c r="H89" s="20" t="n">
        <v>62.36821042888823</v>
      </c>
      <c r="I89" s="20" t="n">
        <v>1</v>
      </c>
      <c r="J89" s="20" t="n">
        <v>35</v>
      </c>
    </row>
    <row r="90" ht="15" customHeight="1">
      <c r="A90" s="2" t="n">
        <v>15</v>
      </c>
      <c r="B90" s="2" t="n">
        <v>2</v>
      </c>
      <c r="C90" s="2" t="inlineStr">
        <is>
          <t>W1</t>
        </is>
      </c>
      <c r="D90" s="2" t="n">
        <v>364.828519109174</v>
      </c>
      <c r="E90" s="2" t="n">
        <v>230.1226043611713</v>
      </c>
      <c r="F90" s="2" t="n">
        <v>225</v>
      </c>
      <c r="G90" s="20" t="n">
        <v>20</v>
      </c>
      <c r="H90" s="20" t="n">
        <v>122.2424678391233</v>
      </c>
      <c r="I90" s="20" t="n">
        <v>1</v>
      </c>
      <c r="J90" s="20" t="n">
        <v>35</v>
      </c>
    </row>
    <row r="91" ht="15" customHeight="1">
      <c r="A91" s="2" t="n">
        <v>15</v>
      </c>
      <c r="B91" s="2" t="n">
        <v>2</v>
      </c>
      <c r="C91" s="2" t="inlineStr">
        <is>
          <t>W2</t>
        </is>
      </c>
      <c r="D91" s="2" t="n">
        <v>1116.937508419657</v>
      </c>
      <c r="E91" s="2" t="n">
        <v>651.7088278878227</v>
      </c>
      <c r="F91" s="2" t="n">
        <v>225</v>
      </c>
      <c r="G91" s="20" t="n">
        <v>17</v>
      </c>
      <c r="H91" s="20" t="n">
        <v>117.3682104288882</v>
      </c>
      <c r="I91" s="20" t="n">
        <v>1</v>
      </c>
      <c r="J91" s="20" t="n">
        <v>35</v>
      </c>
    </row>
    <row r="92" ht="15" customHeight="1">
      <c r="A92" s="2" t="n">
        <v>16</v>
      </c>
      <c r="B92" s="2" t="n">
        <v>0</v>
      </c>
      <c r="C92" s="2" t="inlineStr">
        <is>
          <t>W1</t>
        </is>
      </c>
      <c r="D92" s="2" t="n">
        <v>411.9668193298857</v>
      </c>
      <c r="E92" s="2" t="n">
        <v>-127.9678948327165</v>
      </c>
      <c r="F92" s="2" t="n">
        <v>275</v>
      </c>
      <c r="G92" s="20" t="n">
        <v>11</v>
      </c>
      <c r="H92" s="20" t="n">
        <v>127.7438103469892</v>
      </c>
      <c r="I92" s="20" t="n">
        <v>1</v>
      </c>
      <c r="J92" s="20" t="n">
        <v>35</v>
      </c>
    </row>
    <row r="93" ht="15" customHeight="1">
      <c r="A93" s="2" t="n">
        <v>16</v>
      </c>
      <c r="B93" s="2" t="n">
        <v>0</v>
      </c>
      <c r="C93" s="2" t="inlineStr">
        <is>
          <t>W2</t>
        </is>
      </c>
      <c r="D93" s="2" t="n">
        <v>1247.62478713668</v>
      </c>
      <c r="E93" s="2" t="n">
        <v>-340.6129212438709</v>
      </c>
      <c r="F93" s="2" t="n">
        <v>275</v>
      </c>
      <c r="G93" s="20" t="n">
        <v>11</v>
      </c>
      <c r="H93" s="20" t="n">
        <v>22.63350284678518</v>
      </c>
      <c r="I93" s="20" t="n">
        <v>1</v>
      </c>
      <c r="J93" s="20" t="n">
        <v>35</v>
      </c>
    </row>
    <row r="94" ht="15" customHeight="1">
      <c r="A94" s="2" t="n">
        <v>16</v>
      </c>
      <c r="B94" s="2" t="n">
        <v>1</v>
      </c>
      <c r="C94" s="2" t="inlineStr">
        <is>
          <t>W1</t>
        </is>
      </c>
      <c r="D94" s="2" t="n">
        <v>411.9668193298857</v>
      </c>
      <c r="E94" s="2" t="n">
        <v>-127.9678948327165</v>
      </c>
      <c r="F94" s="2" t="n">
        <v>275</v>
      </c>
      <c r="G94" s="20" t="n">
        <v>17</v>
      </c>
      <c r="H94" s="20" t="n">
        <v>127.7438103469892</v>
      </c>
      <c r="I94" s="20" t="n">
        <v>1</v>
      </c>
      <c r="J94" s="20" t="n">
        <v>35</v>
      </c>
    </row>
    <row r="95" ht="15" customHeight="1">
      <c r="A95" s="2" t="n">
        <v>16</v>
      </c>
      <c r="B95" s="2" t="n">
        <v>1</v>
      </c>
      <c r="C95" s="2" t="inlineStr">
        <is>
          <t>W2</t>
        </is>
      </c>
      <c r="D95" s="2" t="n">
        <v>1247.62478713668</v>
      </c>
      <c r="E95" s="2" t="n">
        <v>-340.6129212438709</v>
      </c>
      <c r="F95" s="2" t="n">
        <v>275</v>
      </c>
      <c r="G95" s="20" t="n">
        <v>20</v>
      </c>
      <c r="H95" s="20" t="n">
        <v>77.63350284678518</v>
      </c>
      <c r="I95" s="20" t="n">
        <v>1</v>
      </c>
      <c r="J95" s="20" t="n">
        <v>35</v>
      </c>
    </row>
    <row r="96" ht="15" customHeight="1">
      <c r="A96" s="2" t="n">
        <v>16</v>
      </c>
      <c r="B96" s="2" t="n">
        <v>2</v>
      </c>
      <c r="C96" s="2" t="inlineStr">
        <is>
          <t>W1</t>
        </is>
      </c>
      <c r="D96" s="2" t="n">
        <v>411.9668193298857</v>
      </c>
      <c r="E96" s="2" t="n">
        <v>-127.9678948327165</v>
      </c>
      <c r="F96" s="2" t="n">
        <v>275</v>
      </c>
      <c r="G96" s="20" t="n">
        <v>17</v>
      </c>
      <c r="H96" s="20" t="n">
        <v>127.7438103469892</v>
      </c>
      <c r="I96" s="20" t="n">
        <v>1</v>
      </c>
      <c r="J96" s="20" t="n">
        <v>35</v>
      </c>
    </row>
    <row r="97" ht="15" customHeight="1">
      <c r="A97" s="2" t="n">
        <v>16</v>
      </c>
      <c r="B97" s="2" t="n">
        <v>2</v>
      </c>
      <c r="C97" s="2" t="inlineStr">
        <is>
          <t>W2</t>
        </is>
      </c>
      <c r="D97" s="2" t="n">
        <v>1247.62478713668</v>
      </c>
      <c r="E97" s="2" t="n">
        <v>-340.6129212438709</v>
      </c>
      <c r="F97" s="2" t="n">
        <v>275</v>
      </c>
      <c r="G97" s="20" t="n">
        <v>11</v>
      </c>
      <c r="H97" s="20" t="n">
        <v>22.63350284678518</v>
      </c>
      <c r="I97" s="20" t="n">
        <v>1</v>
      </c>
      <c r="J97" s="20" t="n">
        <v>35</v>
      </c>
    </row>
    <row r="98" ht="15" customHeight="1">
      <c r="A98" s="2" t="n">
        <v>17</v>
      </c>
      <c r="B98" s="2" t="n">
        <v>0</v>
      </c>
      <c r="C98" s="2" t="inlineStr">
        <is>
          <t>W1</t>
        </is>
      </c>
      <c r="D98" s="2" t="n">
        <v>200.9272327281035</v>
      </c>
      <c r="E98" s="2" t="n">
        <v>381.6494923327107</v>
      </c>
      <c r="F98" s="2" t="n">
        <v>350</v>
      </c>
      <c r="G98" s="20" t="n">
        <v>17</v>
      </c>
      <c r="H98" s="20" t="n">
        <v>152.2345144560027</v>
      </c>
      <c r="I98" s="20" t="n">
        <v>1.5</v>
      </c>
      <c r="J98" s="20" t="n">
        <v>60</v>
      </c>
    </row>
    <row r="99" ht="15" customHeight="1">
      <c r="A99" s="2" t="n">
        <v>17</v>
      </c>
      <c r="B99" s="2" t="n">
        <v>0</v>
      </c>
      <c r="C99" s="2" t="inlineStr">
        <is>
          <t>W2</t>
        </is>
      </c>
      <c r="D99" s="2" t="n">
        <v>641.4497397663461</v>
      </c>
      <c r="E99" s="2" t="n">
        <v>1122.752888084641</v>
      </c>
      <c r="F99" s="2" t="n">
        <v>350</v>
      </c>
      <c r="G99" s="20" t="n">
        <v>20</v>
      </c>
      <c r="H99" s="20" t="n">
        <v>202.3726888052932</v>
      </c>
      <c r="I99" s="20" t="n">
        <v>1.5</v>
      </c>
      <c r="J99" s="20" t="n">
        <v>60</v>
      </c>
    </row>
    <row r="100" ht="15" customHeight="1">
      <c r="A100" s="2" t="n">
        <v>17</v>
      </c>
      <c r="B100" s="2" t="n">
        <v>1</v>
      </c>
      <c r="C100" s="2" t="inlineStr">
        <is>
          <t>W1</t>
        </is>
      </c>
      <c r="D100" s="2" t="n">
        <v>200.9272327281035</v>
      </c>
      <c r="E100" s="2" t="n">
        <v>381.6494923327107</v>
      </c>
      <c r="F100" s="2" t="n">
        <v>350</v>
      </c>
      <c r="G100" s="20" t="n">
        <v>14</v>
      </c>
      <c r="H100" s="20" t="n">
        <v>207.2345144560027</v>
      </c>
      <c r="I100" s="20" t="n">
        <v>1.5</v>
      </c>
      <c r="J100" s="20" t="n">
        <v>60</v>
      </c>
    </row>
    <row r="101" ht="15" customHeight="1">
      <c r="A101" s="2" t="n">
        <v>17</v>
      </c>
      <c r="B101" s="2" t="n">
        <v>1</v>
      </c>
      <c r="C101" s="2" t="inlineStr">
        <is>
          <t>W2</t>
        </is>
      </c>
      <c r="D101" s="2" t="n">
        <v>641.4497397663461</v>
      </c>
      <c r="E101" s="2" t="n">
        <v>1122.752888084641</v>
      </c>
      <c r="F101" s="2" t="n">
        <v>350</v>
      </c>
      <c r="G101" s="20" t="n">
        <v>8</v>
      </c>
      <c r="H101" s="20" t="n">
        <v>92.37268880529322</v>
      </c>
      <c r="I101" s="20" t="n">
        <v>1.5</v>
      </c>
      <c r="J101" s="20" t="n">
        <v>60</v>
      </c>
    </row>
    <row r="102" ht="15" customHeight="1">
      <c r="A102" s="2" t="n">
        <v>17</v>
      </c>
      <c r="B102" s="2" t="n">
        <v>2</v>
      </c>
      <c r="C102" s="2" t="inlineStr">
        <is>
          <t>W1</t>
        </is>
      </c>
      <c r="D102" s="2" t="n">
        <v>200.9272327281035</v>
      </c>
      <c r="E102" s="2" t="n">
        <v>381.6494923327107</v>
      </c>
      <c r="F102" s="2" t="n">
        <v>350</v>
      </c>
      <c r="G102" s="20" t="n">
        <v>2</v>
      </c>
      <c r="H102" s="20" t="n">
        <v>97.23451445600271</v>
      </c>
      <c r="I102" s="20" t="n">
        <v>1.5</v>
      </c>
      <c r="J102" s="20" t="n">
        <v>60</v>
      </c>
    </row>
    <row r="103" ht="15" customHeight="1">
      <c r="A103" s="2" t="n">
        <v>17</v>
      </c>
      <c r="B103" s="2" t="n">
        <v>2</v>
      </c>
      <c r="C103" s="2" t="inlineStr">
        <is>
          <t>W2</t>
        </is>
      </c>
      <c r="D103" s="2" t="n">
        <v>641.4497397663461</v>
      </c>
      <c r="E103" s="2" t="n">
        <v>1122.752888084641</v>
      </c>
      <c r="F103" s="2" t="n">
        <v>350</v>
      </c>
      <c r="G103" s="20" t="n">
        <v>8</v>
      </c>
      <c r="H103" s="20" t="n">
        <v>202.3726888052932</v>
      </c>
      <c r="I103" s="20" t="n">
        <v>1.5</v>
      </c>
      <c r="J103" s="20" t="n">
        <v>60</v>
      </c>
    </row>
    <row r="104" ht="15" customHeight="1">
      <c r="A104" s="2" t="n">
        <v>18</v>
      </c>
      <c r="B104" s="2" t="n">
        <v>0</v>
      </c>
      <c r="C104" s="2" t="inlineStr">
        <is>
          <t>W1</t>
        </is>
      </c>
      <c r="D104" s="2" t="n">
        <v>420.7657325585956</v>
      </c>
      <c r="E104" s="2" t="n">
        <v>95.37356604661501</v>
      </c>
      <c r="F104" s="2" t="n">
        <v>350</v>
      </c>
      <c r="G104" s="20" t="n">
        <v>17</v>
      </c>
      <c r="H104" s="20" t="n">
        <v>47.77124256490144</v>
      </c>
      <c r="I104" s="20" t="n">
        <v>1.5</v>
      </c>
      <c r="J104" s="20" t="n">
        <v>60</v>
      </c>
    </row>
    <row r="105" ht="15" customHeight="1">
      <c r="A105" s="2" t="n">
        <v>18</v>
      </c>
      <c r="B105" s="2" t="n">
        <v>0</v>
      </c>
      <c r="C105" s="2" t="inlineStr">
        <is>
          <t>W2</t>
        </is>
      </c>
      <c r="D105" s="2" t="n">
        <v>1250.846637740001</v>
      </c>
      <c r="E105" s="2" t="n">
        <v>329.260444018202</v>
      </c>
      <c r="F105" s="2" t="n">
        <v>350</v>
      </c>
      <c r="G105" s="20" t="n">
        <v>8</v>
      </c>
      <c r="H105" s="20" t="n">
        <v>162.6397511269842</v>
      </c>
      <c r="I105" s="20" t="n">
        <v>1.5</v>
      </c>
      <c r="J105" s="20" t="n">
        <v>60</v>
      </c>
    </row>
    <row r="106" ht="15" customHeight="1">
      <c r="A106" s="2" t="n">
        <v>18</v>
      </c>
      <c r="B106" s="2" t="n">
        <v>1</v>
      </c>
      <c r="C106" s="2" t="inlineStr">
        <is>
          <t>W1</t>
        </is>
      </c>
      <c r="D106" s="2" t="n">
        <v>420.7657325585956</v>
      </c>
      <c r="E106" s="2" t="n">
        <v>95.37356604661501</v>
      </c>
      <c r="F106" s="2" t="n">
        <v>350</v>
      </c>
      <c r="G106" s="20" t="n">
        <v>11</v>
      </c>
      <c r="H106" s="20" t="n">
        <v>102.7712425649014</v>
      </c>
      <c r="I106" s="20" t="n">
        <v>1.5</v>
      </c>
      <c r="J106" s="20" t="n">
        <v>60</v>
      </c>
    </row>
    <row r="107" ht="15" customHeight="1">
      <c r="A107" s="2" t="n">
        <v>18</v>
      </c>
      <c r="B107" s="2" t="n">
        <v>1</v>
      </c>
      <c r="C107" s="2" t="inlineStr">
        <is>
          <t>W2</t>
        </is>
      </c>
      <c r="D107" s="2" t="n">
        <v>1250.846637740001</v>
      </c>
      <c r="E107" s="2" t="n">
        <v>329.260444018202</v>
      </c>
      <c r="F107" s="2" t="n">
        <v>350</v>
      </c>
      <c r="G107" s="20" t="n">
        <v>2</v>
      </c>
      <c r="H107" s="20" t="n">
        <v>107.6397511269842</v>
      </c>
      <c r="I107" s="20" t="n">
        <v>1.5</v>
      </c>
      <c r="J107" s="20" t="n">
        <v>60</v>
      </c>
    </row>
    <row r="108" ht="15" customHeight="1">
      <c r="A108" s="2" t="n">
        <v>18</v>
      </c>
      <c r="B108" s="2" t="n">
        <v>2</v>
      </c>
      <c r="C108" s="2" t="inlineStr">
        <is>
          <t>W1</t>
        </is>
      </c>
      <c r="D108" s="2" t="n">
        <v>420.7657325585956</v>
      </c>
      <c r="E108" s="2" t="n">
        <v>95.37356604661501</v>
      </c>
      <c r="F108" s="2" t="n">
        <v>350</v>
      </c>
      <c r="G108" s="20" t="n">
        <v>20</v>
      </c>
      <c r="H108" s="20" t="n">
        <v>102.7712425649014</v>
      </c>
      <c r="I108" s="20" t="n">
        <v>1.5</v>
      </c>
      <c r="J108" s="20" t="n">
        <v>60</v>
      </c>
    </row>
    <row r="109" ht="15" customHeight="1">
      <c r="A109" s="2" t="n">
        <v>18</v>
      </c>
      <c r="B109" s="2" t="n">
        <v>2</v>
      </c>
      <c r="C109" s="2" t="inlineStr">
        <is>
          <t>W2</t>
        </is>
      </c>
      <c r="D109" s="2" t="n">
        <v>1250.846637740001</v>
      </c>
      <c r="E109" s="2" t="n">
        <v>329.260444018202</v>
      </c>
      <c r="F109" s="2" t="n">
        <v>350</v>
      </c>
      <c r="G109" s="20" t="n">
        <v>17</v>
      </c>
      <c r="H109" s="20" t="n">
        <v>107.6397511269842</v>
      </c>
      <c r="I109" s="20" t="n">
        <v>1.5</v>
      </c>
      <c r="J109" s="20" t="n">
        <v>60</v>
      </c>
    </row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0" workbookViewId="0">
      <selection activeCell="A1" sqref="A1"/>
    </sheetView>
  </sheetViews>
  <sheetFormatPr baseColWidth="8" defaultRowHeight="15"/>
  <cols>
    <col width="27.75" customWidth="1" min="1" max="1"/>
    <col width="22.5" customWidth="1" min="2" max="2"/>
  </cols>
  <sheetData>
    <row r="1" ht="26" customHeight="1">
      <c r="A1" s="5" t="inlineStr">
        <is>
          <t>parameter</t>
        </is>
      </c>
      <c r="B1" s="5" t="inlineStr">
        <is>
          <t>value</t>
        </is>
      </c>
    </row>
    <row r="2" ht="15" customHeight="1">
      <c r="A2" s="2" t="inlineStr">
        <is>
          <t>vAir_mps</t>
        </is>
      </c>
      <c r="B2" s="2" t="n">
        <v>12</v>
      </c>
    </row>
    <row r="3" ht="15" customHeight="1">
      <c r="A3" s="2" t="inlineStr">
        <is>
          <t>minGroundSpeed_mps</t>
        </is>
      </c>
      <c r="B3" s="2" t="n">
        <v>2</v>
      </c>
    </row>
    <row r="4" ht="15" customHeight="1">
      <c r="A4" s="2" t="inlineStr">
        <is>
          <t>maxGroundSpeed_mps</t>
        </is>
      </c>
      <c r="B4" s="2" t="n">
        <v>18</v>
      </c>
    </row>
    <row r="5" ht="15" customHeight="1">
      <c r="A5" s="2" t="inlineStr">
        <is>
          <t>windUpdate_s</t>
        </is>
      </c>
      <c r="B5" s="2" t="n">
        <v>0.5</v>
      </c>
    </row>
    <row r="6" ht="15" customHeight="1">
      <c r="A6" s="2" t="inlineStr">
        <is>
          <t>Pbase_W</t>
        </is>
      </c>
      <c r="B6" s="2" t="n">
        <v>95</v>
      </c>
    </row>
    <row r="7" ht="15" customHeight="1">
      <c r="A7" s="2" t="inlineStr">
        <is>
          <t>headwindCoeff_W_per_mps2</t>
        </is>
      </c>
      <c r="B7" s="2" t="n">
        <v>2.2</v>
      </c>
    </row>
    <row r="8" ht="15" customHeight="1">
      <c r="A8" s="2" t="inlineStr">
        <is>
          <t>crosswindCoeff_W_per_mps2</t>
        </is>
      </c>
      <c r="B8" s="2" t="n">
        <v>0.8</v>
      </c>
    </row>
    <row r="9" ht="15" customHeight="1">
      <c r="A9" s="2" t="inlineStr">
        <is>
          <t>payloadCoeff_W_per_kg</t>
        </is>
      </c>
      <c r="B9" s="2" t="n">
        <v>12</v>
      </c>
    </row>
    <row r="10" ht="15" customHeight="1">
      <c r="A10" s="2" t="inlineStr">
        <is>
          <t>batteryCapacity_Wh</t>
        </is>
      </c>
      <c r="B10" s="2" t="n">
        <v>90</v>
      </c>
    </row>
    <row r="11" ht="15" customHeight="1">
      <c r="A11" s="2" t="inlineStr">
        <is>
          <t>reserveFraction</t>
        </is>
      </c>
      <c r="B11" s="2" t="n">
        <v>0.2</v>
      </c>
    </row>
    <row r="12" ht="15" customHeight="1">
      <c r="A12" s="2" t="inlineStr">
        <is>
          <t>delaySeconds</t>
        </is>
      </c>
      <c r="B12" s="2" t="n">
        <v>120</v>
      </c>
    </row>
    <row r="13" ht="15" customHeight="1">
      <c r="A13" s="2" t="inlineStr">
        <is>
          <t>highPredictabilitySpeedSD_mps</t>
        </is>
      </c>
      <c r="B13" s="2" t="n">
        <v>0.5</v>
      </c>
    </row>
    <row r="14" ht="15" customHeight="1">
      <c r="A14" s="2" t="inlineStr">
        <is>
          <t>lowPredictabilitySpeedSD_mps</t>
        </is>
      </c>
      <c r="B14" s="2" t="n">
        <v>1.5</v>
      </c>
    </row>
    <row r="15" ht="15" customHeight="1">
      <c r="A15" s="2" t="inlineStr">
        <is>
          <t>highPredictabilityDirectionSD_deg</t>
        </is>
      </c>
      <c r="B15" s="2" t="n">
        <v>12</v>
      </c>
    </row>
    <row r="16" ht="15" customHeight="1">
      <c r="A16" s="2" t="inlineStr">
        <is>
          <t>lowPredictabilityDirectionSD_deg</t>
        </is>
      </c>
      <c r="B16" s="2" t="n">
        <v>60</v>
      </c>
    </row>
    <row r="17" ht="15" customHeight="1">
      <c r="A17" s="2" t="inlineStr">
        <is>
          <t>windDirectionConvention</t>
        </is>
      </c>
      <c r="B17" s="2" t="inlineStr">
        <is>
          <t>vector-to: 0° east, 90° north</t>
        </is>
      </c>
    </row>
    <row r="18" ht="15" customHeight="1">
      <c r="A18" s="2" t="inlineStr">
        <is>
          <t>windLayer1Start_s</t>
        </is>
      </c>
      <c r="B18" s="2" t="n">
        <v>120</v>
      </c>
    </row>
    <row r="19" ht="15" customHeight="1">
      <c r="A19" s="2" t="inlineStr">
        <is>
          <t>windLayer2Start_s</t>
        </is>
      </c>
      <c r="B19" s="2" t="n">
        <v>240</v>
      </c>
    </row>
    <row r="20" ht="15" customHeight="1">
      <c r="A20" s="2" t="inlineStr">
        <is>
          <t>deprecated_bestSecondMinGap_v3</t>
        </is>
      </c>
      <c r="B20" s="21" t="inlineStr">
        <is>
          <t>unused in v4</t>
        </is>
      </c>
    </row>
    <row r="21" ht="15" customHeight="1">
      <c r="A21" s="2" t="inlineStr">
        <is>
          <t>deprecated_bestSecondMaxGap_v3</t>
        </is>
      </c>
      <c r="B21" s="21" t="inlineStr">
        <is>
          <t>unused in v4</t>
        </is>
      </c>
    </row>
    <row r="22" ht="15" customHeight="1">
      <c r="A22" s="2" t="inlineStr">
        <is>
          <t>plannedEffectiveParticipants</t>
        </is>
      </c>
      <c r="B22" s="2" t="n">
        <v>100</v>
      </c>
    </row>
    <row r="23" ht="15" customHeight="1">
      <c r="A23" s="2" t="inlineStr">
        <is>
          <t>experimentVersion</t>
        </is>
      </c>
      <c r="B23" s="2" t="inlineStr">
        <is>
          <t>4.1</t>
        </is>
      </c>
    </row>
    <row r="24" ht="15" customHeight="1">
      <c r="A24" s="2" t="inlineStr">
        <is>
          <t>materialVersion</t>
        </is>
      </c>
      <c r="B24" s="2" t="inlineStr">
        <is>
          <t>2026-08-pretest-flow-v2</t>
        </is>
      </c>
    </row>
    <row r="25" ht="15" customHeight="1">
      <c r="A25" s="2" t="inlineStr">
        <is>
          <t>highIntervenabilityMinPct</t>
        </is>
      </c>
      <c r="B25" s="21" t="n">
        <v>0.35</v>
      </c>
    </row>
    <row r="26" ht="15" customHeight="1">
      <c r="A26" s="2" t="inlineStr">
        <is>
          <t>highIntervenabilityMaxPct</t>
        </is>
      </c>
      <c r="B26" s="21" t="n">
        <v>0.5</v>
      </c>
    </row>
    <row r="27" ht="15" customHeight="1">
      <c r="A27" s="2" t="inlineStr">
        <is>
          <t>lowIntervenabilityMinPct</t>
        </is>
      </c>
      <c r="B27" s="21" t="n">
        <v>0.05</v>
      </c>
    </row>
    <row r="28" ht="15" customHeight="1">
      <c r="A28" s="2" t="inlineStr">
        <is>
          <t>lowIntervenabilityMaxPct</t>
        </is>
      </c>
      <c r="B28" s="21" t="n">
        <v>0.15</v>
      </c>
    </row>
    <row r="29" ht="15" customHeight="1">
      <c r="A29" s="2" t="inlineStr">
        <is>
          <t>decisionGapMinPct</t>
        </is>
      </c>
      <c r="B29" s="21" t="n">
        <v>0.05</v>
      </c>
    </row>
    <row r="30" ht="15" customHeight="1">
      <c r="A30" s="2" t="inlineStr">
        <is>
          <t>decisionGapMaxPct</t>
        </is>
      </c>
      <c r="B30" s="21" t="n">
        <v>0.15</v>
      </c>
    </row>
    <row r="31" ht="15" customHeight="1">
      <c r="A31" s="2" t="inlineStr">
        <is>
          <t>mediumPredictabilitySpeedSD_mps</t>
        </is>
      </c>
      <c r="B31" s="2" t="n">
        <v>1</v>
      </c>
    </row>
    <row r="32" ht="15" customHeight="1">
      <c r="A32" s="2" t="inlineStr">
        <is>
          <t>mediumPredictabilityDirectionSD_deg</t>
        </is>
      </c>
      <c r="B32" s="2" t="n">
        <v>35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2026-08-01T09:42:06Z</dcterms:created>
  <dcterms:modified xsi:type="dcterms:W3CDTF">2026-09-06T07:37:00Z</dcterms:modified>
</cp:coreProperties>
</file>